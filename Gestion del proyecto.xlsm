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12"/>
  <workbookPr updateLinks="never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TempUserProfiles\NetworkService\AppData\Local\Packages\oice_16_974fa576_32c1d314_1b05\AC\Temp\"/>
    </mc:Choice>
  </mc:AlternateContent>
  <xr:revisionPtr revIDLastSave="0" documentId="8_{A2559A75-8782-4771-B1FD-5B16D409C699}" xr6:coauthVersionLast="47" xr6:coauthVersionMax="47" xr10:uidLastSave="{00000000-0000-0000-0000-000000000000}"/>
  <bookViews>
    <workbookView xWindow="-60" yWindow="-60" windowWidth="15480" windowHeight="11640" tabRatio="893" xr2:uid="{00000000-000D-0000-FFFF-FFFF00000000}"/>
  </bookViews>
  <sheets>
    <sheet name="General" sheetId="1" r:id="rId1"/>
    <sheet name="Restricciones" sheetId="36" r:id="rId2"/>
    <sheet name="Riesgos" sheetId="3" r:id="rId3"/>
    <sheet name="Alcance" sheetId="37" r:id="rId4"/>
    <sheet name="Estrategia" sheetId="38" r:id="rId5"/>
    <sheet name="Estimacion" sheetId="39" r:id="rId6"/>
    <sheet name="Cronograma" sheetId="40" r:id="rId7"/>
    <sheet name="Casos de prueba" sheetId="42" r:id="rId8"/>
  </sheets>
  <externalReferences>
    <externalReference r:id="rId9"/>
    <externalReference r:id="rId10"/>
    <externalReference r:id="rId11"/>
    <externalReference r:id="rId12"/>
  </externalReferences>
  <definedNames>
    <definedName name="Acción">#REF!</definedName>
    <definedName name="Analista_Pruebas">#REF!</definedName>
    <definedName name="Aplicativo">[1]ListasEditables!$A$2:$A$7</definedName>
    <definedName name="Assign_To">#REF!</definedName>
    <definedName name="Delivery">[1]ListasEditables!$P$2:$P$6</definedName>
    <definedName name="Desarrollador">#REF!</definedName>
    <definedName name="Desfase">[2]Listas!$N$3:$N$40</definedName>
    <definedName name="Desfases">#REF!</definedName>
    <definedName name="Documentacion">#REF!</definedName>
    <definedName name="Estado_del_Proyecto">#REF!</definedName>
    <definedName name="EstadoHUS">[1]ListasEditables!$J$2:$J$6</definedName>
    <definedName name="EstadoIssue">[1]ListasEditables!$E$2:$E$12</definedName>
    <definedName name="EstadoProyecto">[1]Listas!$C$2:$C$6</definedName>
    <definedName name="Estados">#REF!</definedName>
    <definedName name="EstadoSprint">[1]ListasEditables!$I$2:$I$4</definedName>
    <definedName name="EstadoUAT">#REF!</definedName>
    <definedName name="Etapa_de_la_Prueba">[3]Listas!#REF!</definedName>
    <definedName name="Etapa_Prueba">#REF!</definedName>
    <definedName name="EtapaInyeccion">[1]ListasEditables!$M$2:$M$4</definedName>
    <definedName name="ImpactoIssue">[1]ListasEditables!$H$2:$H$5</definedName>
    <definedName name="ISP">#REF!</definedName>
    <definedName name="LineaNegocio">[1]ListasEditables!$O$2:$O$10</definedName>
    <definedName name="MesaDeTrabajo">[1]ListasEditables!$Q$2:$Q$4</definedName>
    <definedName name="Naturaleza">[4]ListasEditables!$G$2:$G$10</definedName>
    <definedName name="NaturalezaIssue">[1]ListasEditables!$G$2:$G$11</definedName>
    <definedName name="Nature">#REF!</definedName>
    <definedName name="Phase_Injection">#REF!</definedName>
    <definedName name="Pregunta">#REF!</definedName>
    <definedName name="Product_Type">#REF!</definedName>
    <definedName name="Producto">[1]Listas!$A$2:$A$13</definedName>
    <definedName name="ProveedorDesarrollo">[1]ListasEditables!$D$2:$D$6</definedName>
    <definedName name="Reproducibility">#REF!</definedName>
    <definedName name="Responsable">#REF!</definedName>
    <definedName name="Responsable_ocurrencia_desfase">#REF!</definedName>
    <definedName name="Responsible_Injection">#REF!</definedName>
    <definedName name="SiNo">[1]Listas!$D$2:$D$3</definedName>
    <definedName name="Sprints">[1]ListasEditables!$L$2:$L$13</definedName>
    <definedName name="Status">#REF!</definedName>
    <definedName name="Sugerida">#REF!</definedName>
    <definedName name="Tipo_Pruebas">#REF!</definedName>
    <definedName name="TipoIssue">[1]ListasEditables!$F$2:$F$4</definedName>
    <definedName name="TipoProyecto">[1]Listas!$E$2:$E$5</definedName>
    <definedName name="Type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5" i="39" l="1"/>
  <c r="G32" i="39"/>
  <c r="G31" i="39"/>
  <c r="G30" i="39"/>
  <c r="G29" i="39"/>
  <c r="G28" i="39"/>
  <c r="G27" i="39"/>
  <c r="G26" i="39"/>
  <c r="G25" i="39"/>
  <c r="G24" i="39"/>
  <c r="G23" i="39"/>
  <c r="G22" i="39"/>
  <c r="G21" i="39"/>
  <c r="G20" i="39"/>
  <c r="G19" i="39"/>
  <c r="G18" i="39"/>
  <c r="G17" i="39"/>
  <c r="G16" i="39"/>
  <c r="G15" i="39"/>
  <c r="G14" i="39"/>
  <c r="G13" i="39"/>
  <c r="G12" i="39"/>
  <c r="G11" i="39"/>
  <c r="G10" i="39"/>
  <c r="G9" i="39"/>
  <c r="G33" i="39" s="1"/>
  <c r="J19" i="39" s="1"/>
  <c r="F23" i="3"/>
  <c r="F22" i="3"/>
  <c r="F24" i="3"/>
  <c r="F25" i="3"/>
  <c r="F15" i="3"/>
  <c r="F13" i="3"/>
  <c r="F14" i="3"/>
  <c r="F16" i="3"/>
  <c r="F17" i="3"/>
  <c r="F21" i="3"/>
  <c r="F26" i="3"/>
  <c r="J20" i="39" l="1"/>
  <c r="J21" i="39" s="1"/>
  <c r="J22" i="39" s="1"/>
</calcChain>
</file>

<file path=xl/sharedStrings.xml><?xml version="1.0" encoding="utf-8"?>
<sst xmlns="http://schemas.openxmlformats.org/spreadsheetml/2006/main" count="387" uniqueCount="204">
  <si>
    <t>Información Proyecto</t>
  </si>
  <si>
    <t>Nombre proyecto</t>
  </si>
  <si>
    <t>Academia Choucair</t>
  </si>
  <si>
    <t>Sprint o Iteración</t>
  </si>
  <si>
    <t>Sprint 1</t>
  </si>
  <si>
    <t>Descripción proyecto</t>
  </si>
  <si>
    <t>Revision y pruebas de los cambios realizados en el anterior release en la plataforma academica de choucair para consulta, matricula y realizacion de cursos</t>
  </si>
  <si>
    <t>Versión aplicativo</t>
  </si>
  <si>
    <t>v2</t>
  </si>
  <si>
    <t>Gerente de Servicio</t>
  </si>
  <si>
    <t>Didier Gutierrez</t>
  </si>
  <si>
    <t>Equipo de Pruebas</t>
  </si>
  <si>
    <t>Brayan Alexis Arias Henrnadez</t>
  </si>
  <si>
    <t>Cristian Steven Cortes</t>
  </si>
  <si>
    <t>Sebastian Osorio Estrada</t>
  </si>
  <si>
    <t>Fecha Inicio Proyecto</t>
  </si>
  <si>
    <t>Fecha Fin Proyecto (Solicitada por el cliente)</t>
  </si>
  <si>
    <t>Horas por Día</t>
  </si>
  <si>
    <t>Recursos Asignados</t>
  </si>
  <si>
    <t>Actividades de cada rol</t>
  </si>
  <si>
    <t>Brayan Arias Hernandez</t>
  </si>
  <si>
    <t>En este etapa fueron entregadas las especificaciones del negocio y los requisitos del sistema por lo que los 3 analistas de pruebas debieron estar todos en las reuniones de contextualizacion.</t>
  </si>
  <si>
    <t>Restricciones del proyecto</t>
  </si>
  <si>
    <t>Fija</t>
  </si>
  <si>
    <t>Seleccionable</t>
  </si>
  <si>
    <t>Ajustable</t>
  </si>
  <si>
    <t xml:space="preserve">Recursos </t>
  </si>
  <si>
    <t>Fecha (15 dias)</t>
  </si>
  <si>
    <t>Alcance (Funcionalidades)</t>
  </si>
  <si>
    <t>En esta oportunidad las restricciones del proyecto las realizaron los 3 juntos, puesto que no es un proceso largo  pero necesitaba que hubiera un acuerdo sobre lo que se podria o no modificar o ajustar en el proyecto</t>
  </si>
  <si>
    <t>Impacto</t>
  </si>
  <si>
    <t>¿Cuál sería el impacto en el usuario si una funcionalidad con su respectivo atributo falla en operar correctamente?
Valores permitidos: 1, 2 ó 3. Donde 3 representa el impacto mayor y 1 representa el impacto menor</t>
  </si>
  <si>
    <t>Posibilidad de Ocurrencia</t>
  </si>
  <si>
    <t>¿Cuál es la posibilidad de que la funcionalidad con su respectivo atributo vaya a fallar u opere incorrectamente? 
Valores permitidos: 1, 2 ó 3. Donde 3 representa la probabilidad mayor y 1 representa la probabilidad menor</t>
  </si>
  <si>
    <t>Análisis de Riesgos</t>
  </si>
  <si>
    <r>
      <t xml:space="preserve">Análisis Riesgo </t>
    </r>
    <r>
      <rPr>
        <b/>
        <sz val="10"/>
        <color rgb="FFFF0000"/>
        <rFont val="Arial"/>
        <family val="2"/>
      </rPr>
      <t>Proyecto</t>
    </r>
  </si>
  <si>
    <t>Riesgo</t>
  </si>
  <si>
    <t>Descripcion de riesgo</t>
  </si>
  <si>
    <t>Acción propuesta</t>
  </si>
  <si>
    <t>Requisitos mal definidos</t>
  </si>
  <si>
    <t>Algunos requisitos como historias de usuario o criterios de aceptacion pueden estar mal determinados.</t>
  </si>
  <si>
    <t>Programar reunion de aclaracion de dudas con el cliente.</t>
  </si>
  <si>
    <t>Ambiente de pruebas no esta listo</t>
  </si>
  <si>
    <t>El ambiente de pruebas puede aun no estar listo para el momento de la ejecucion.</t>
  </si>
  <si>
    <t>Escalar el inconveniente con el cliente.</t>
  </si>
  <si>
    <t>Demora en solucion de bugs</t>
  </si>
  <si>
    <t>Al tener un solo desarrollador para la solucion de defectos, puede generar restrasos en las pruebas.</t>
  </si>
  <si>
    <t>Sugerir la integracion de mas desarrolladores.</t>
  </si>
  <si>
    <t>Demora en asignacion de credenciales</t>
  </si>
  <si>
    <t>Cuando no hay una asignacion de credenciales a tiempo para ingresar al ambiente de pruebas, esto afecta el tiempo de las pruebas.</t>
  </si>
  <si>
    <t>Recordarle al cliente la importancia de tener las credenciales a tiempo</t>
  </si>
  <si>
    <t xml:space="preserve">Promedio </t>
  </si>
  <si>
    <r>
      <t xml:space="preserve">Análisis Riesgo </t>
    </r>
    <r>
      <rPr>
        <b/>
        <sz val="10"/>
        <color rgb="FF000099"/>
        <rFont val="Arial"/>
        <family val="2"/>
      </rPr>
      <t>Producto</t>
    </r>
  </si>
  <si>
    <t>Posibilidad de Fallo</t>
  </si>
  <si>
    <t>Cursos disponibles</t>
  </si>
  <si>
    <t>Que el dashboard principal contenga cursos a los cuales no puedo acceder</t>
  </si>
  <si>
    <t>Pruebas funcionales, adecuacion funcional, usabilidad</t>
  </si>
  <si>
    <t>Informacion sensibles</t>
  </si>
  <si>
    <t>Al ingresar un termino de busqueda la aplicacion indexe resultados con datos sensibles de la empresa</t>
  </si>
  <si>
    <t>Pruebas funcionales, seguridad</t>
  </si>
  <si>
    <t>Ambiente de pruebas caido</t>
  </si>
  <si>
    <t>El ambiente de pruebas tiene caidas constantes que hacen que no se puedan llevar a cabo las pruebas</t>
  </si>
  <si>
    <t>Smoke test, adecuacion funcional, usabilidad</t>
  </si>
  <si>
    <t>Termino de busqueda</t>
  </si>
  <si>
    <t>Al ingresar un termino de busqueda los resultados no concuerden o sean cursos no disponibles para el empleado</t>
  </si>
  <si>
    <t>Informacion desactualizada</t>
  </si>
  <si>
    <t>Los cursos buscados esten en estado obsoleto o no disponibles</t>
  </si>
  <si>
    <t>Brayan y Cristian trabajaron en los analisis de riesgos al inicio, luego de media hora Sebastian se sumo a la actividad</t>
  </si>
  <si>
    <t>Sebastian fue realizando a la vez al alcance del proyecto, cuando lo finalizo apoyo a Brayan y Cristian en la realizacion de los analisis de riesgos</t>
  </si>
  <si>
    <t>Alcance del proyecto</t>
  </si>
  <si>
    <t>En el alcance de las pruebas</t>
  </si>
  <si>
    <t>Fuera del alcance</t>
  </si>
  <si>
    <t>Modulo de consulta de cursos</t>
  </si>
  <si>
    <t>Modulo de matriculas de nuevos curso</t>
  </si>
  <si>
    <t>Modulo de realizacion de cursos</t>
  </si>
  <si>
    <t>A medida que Sebastian realizaba el alcance Brayan y Cristian trabajaban en los analisis de riesgos</t>
  </si>
  <si>
    <t>Sebastian realizo el alcance del proyecto</t>
  </si>
  <si>
    <t>Estrategia</t>
  </si>
  <si>
    <t>Luego de analizar los riesgos de proyecto, se iniciaria programando una reunion con el PO para que los requisitos queden bien claros y definidos y se peuda dar una solucion al incoveniente del ambiente de pruebas y pueda estar listo, asi como la asignacion oportuna de las credenciales, luego se dara una enviara formalmente una sugerencia para que se pueda inlcuir por lo menos 1 desarrollador mas para la solucion de bugs encontrados. Luego se iniciara con el diseño de los casos de pruebas de la respectiva funcionalidad a probar por parte de los analistas de pruebas</t>
  </si>
  <si>
    <t>Al solo poder probar una unica funcionalidad no habra una prioridad para tal recurso.</t>
  </si>
  <si>
    <t>De acuerdo a lo anterior se plantea el siguiente orden en las pruebas.</t>
  </si>
  <si>
    <t>Historia de usuario</t>
  </si>
  <si>
    <t>Aspectos a evaluar</t>
  </si>
  <si>
    <t>Tipo y tecnica de prueba</t>
  </si>
  <si>
    <t>HU-001 - Consulta de cursos</t>
  </si>
  <si>
    <t>- Se debe poder buscar el curso ingresando cualquier tipo de caracter y mostrar los resultados de acuerdo al termino.
- Al momento de realizar la busqueda por termino se debera habilitar un formatos para el formulario para filtrar la búsqueda por título, área, cursos, solamente mis cursos y fechas de modificación.
- Al momento de realizar la busqueda por termino se deberan habilitar 4 botones para filtrar los resultados por: todos, contenido del curso, curso y usuarios.
- El dashboard principal deberá contener todos los cursos a los cuales el empleado puede acceder sin necesidad de ingresar el término.
- El dashboard principal deberá contener 2 botones de filtro: por nombre del curso y fecha de acceso, y por tarjeta, lista y resumen.</t>
  </si>
  <si>
    <t>Usabilidad, adecuacion funcional y fiabilidad</t>
  </si>
  <si>
    <t>Este proceso fue realizado por los 3 analista, puesto que de acuerdo a la historia de usuario y sus criterios de aceptacion, se debia definir cual era la mejor forma y los pasos para llevar a cabo las pruebas, todo encaminado en la metologia de trabajo de choucair.</t>
  </si>
  <si>
    <t>Estimaciones</t>
  </si>
  <si>
    <t>Construccion de valor</t>
  </si>
  <si>
    <t>SCRUM</t>
  </si>
  <si>
    <t>Etapas</t>
  </si>
  <si>
    <t>Actividades</t>
  </si>
  <si>
    <t>Horas</t>
  </si>
  <si>
    <t>Frecuencia</t>
  </si>
  <si>
    <t>Recursos</t>
  </si>
  <si>
    <t>Total</t>
  </si>
  <si>
    <t>Actividades del proyecto</t>
  </si>
  <si>
    <t>Visión</t>
  </si>
  <si>
    <t>Reunion del contexto</t>
  </si>
  <si>
    <t>Sprint Planing</t>
  </si>
  <si>
    <t>Lectura de la documentación.</t>
  </si>
  <si>
    <t>Daily</t>
  </si>
  <si>
    <t>Digrama de contexto(Aporte en la mejora de las historias de usuario)</t>
  </si>
  <si>
    <t>Refinamiento</t>
  </si>
  <si>
    <t>Conocer el Roadmap del producto</t>
  </si>
  <si>
    <t>Review</t>
  </si>
  <si>
    <t>Planeación</t>
  </si>
  <si>
    <t>Restricciones</t>
  </si>
  <si>
    <t>Retrospectiva</t>
  </si>
  <si>
    <t>Riesgos del proyecto</t>
  </si>
  <si>
    <t>feedback del cliente</t>
  </si>
  <si>
    <t>Alcance</t>
  </si>
  <si>
    <t>Estimaciones(esfuerzo estimaciones)</t>
  </si>
  <si>
    <t>Riesgos de prueba</t>
  </si>
  <si>
    <t>Diseño de estrategia de pruebas</t>
  </si>
  <si>
    <t>Reunión de aprobación y solución de inquietudes (solución de dudas y sincronia en las HU)</t>
  </si>
  <si>
    <t>Subtotal</t>
  </si>
  <si>
    <t>Cronograma (Detalles de los tiempos y esfuerzos de la actividad)</t>
  </si>
  <si>
    <t>Factor de ajuste</t>
  </si>
  <si>
    <t>Alcance de tipo de prueba</t>
  </si>
  <si>
    <t>Diseño</t>
  </si>
  <si>
    <t>Diseño de casos de pruebas HU-001</t>
  </si>
  <si>
    <t>/ 3 recursos</t>
  </si>
  <si>
    <t>Preparacion de datos si se requiere</t>
  </si>
  <si>
    <t># Dias aproximados para el proceso de pruebas</t>
  </si>
  <si>
    <t>Preparar scripts de automatizacion HU-001</t>
  </si>
  <si>
    <t>Ejecución</t>
  </si>
  <si>
    <t>Smoke test</t>
  </si>
  <si>
    <t>Ejecucion de casos de prueba HU-001</t>
  </si>
  <si>
    <t>Comite de cambios(reporte bugs)</t>
  </si>
  <si>
    <t>Regresion</t>
  </si>
  <si>
    <t>Entrega</t>
  </si>
  <si>
    <t>Preparar documentacion, resultados e indicadores</t>
  </si>
  <si>
    <t>Verificar integridad de los artefactos o scripts</t>
  </si>
  <si>
    <t>Generar carta con resultados de prueba</t>
  </si>
  <si>
    <t>Informe final</t>
  </si>
  <si>
    <t>Total horas estimadas</t>
  </si>
  <si>
    <t>Este proceso tambien debio ser ralizado por los 3 analistas, ya que se requeria de la experiencia previa y de los resultados de los anteriores tests, para calcular un promedio de tiempo de demora por cada etapa de proceso.</t>
  </si>
  <si>
    <t>Cronograma</t>
  </si>
  <si>
    <t>Fechas</t>
  </si>
  <si>
    <t>Noviembre</t>
  </si>
  <si>
    <t>Al igual que las estimaciones, el cronograma debio realizarse por los 3 analistas puesto que es necesario conocer de primera mano las actividades que se van a realizar por cada dia que dure el proyecto.</t>
  </si>
  <si>
    <t>Diseño de casos de prueba</t>
  </si>
  <si>
    <t>Titulo de la prueba</t>
  </si>
  <si>
    <t>Numero de historia de usuario</t>
  </si>
  <si>
    <t>Fecha de la prueba</t>
  </si>
  <si>
    <t>Brayan realizo los casos de prueba exitosos</t>
  </si>
  <si>
    <t>Consulta de cursos</t>
  </si>
  <si>
    <t>HU-001</t>
  </si>
  <si>
    <t>Cristian realizo los casos de prueba no exitosos</t>
  </si>
  <si>
    <t>Diseñada por</t>
  </si>
  <si>
    <t>Brayan Alexis Arias Hernandez</t>
  </si>
  <si>
    <t>Sebastian fue preparando los datos requeridos y fue inicio a construir los scripts</t>
  </si>
  <si>
    <t>Casos de prueba exitosos</t>
  </si>
  <si>
    <t>Casos de prueba no exitosos</t>
  </si>
  <si>
    <t>ID CASO DE PRUEBA: CP-001</t>
  </si>
  <si>
    <t>ID CASO DE PRUEBA: CP-004</t>
  </si>
  <si>
    <t>OBJETIVO</t>
  </si>
  <si>
    <t>Demostrar la busqueda exitos de un curso por termino parcial o completo</t>
  </si>
  <si>
    <t>FECHA DE EJECUCIÓN</t>
  </si>
  <si>
    <t>Demostrar la consulta con un termino que no pertenece a algun curso</t>
  </si>
  <si>
    <t>PRUEBA REALIZADA POR:</t>
  </si>
  <si>
    <t>Precondiciones</t>
  </si>
  <si>
    <t>Una cuenta de usuario registrada</t>
  </si>
  <si>
    <t>ID DE PASO</t>
  </si>
  <si>
    <t>DESCRIPCIÓN DEL PASO</t>
  </si>
  <si>
    <t>RESULTADOS ESPERADOS</t>
  </si>
  <si>
    <t>RESULTADOS REALES</t>
  </si>
  <si>
    <t>APROBAR / REPROBAR</t>
  </si>
  <si>
    <t>NOTAS ADICIONALES</t>
  </si>
  <si>
    <t>En la pagina principal de Choucari Academy dar Clic en la lupa de buscar</t>
  </si>
  <si>
    <t>Se debe desplegar el campo para introducir el termino de busqueda</t>
  </si>
  <si>
    <t>Pendiente</t>
  </si>
  <si>
    <t>Ingresar el termino o curso a buscar</t>
  </si>
  <si>
    <t>Debe dejar ingresasr cualquier tipo de caracter</t>
  </si>
  <si>
    <t>Ingresar un termino o palabra que no tengan que ver con un curso</t>
  </si>
  <si>
    <t>Dar enter para realizar la busqueda</t>
  </si>
  <si>
    <t>Debe de redirigir a una nueva pagina con los cursos disponibles segun el termino buscado</t>
  </si>
  <si>
    <t>Debe de redirigir a una nueva pagina y mostrar el aviso que diga "Sin resultados"</t>
  </si>
  <si>
    <t>ID CASO DE PRUEBA: CP-002</t>
  </si>
  <si>
    <t>ID CASO DE PRUEBA: CP-005</t>
  </si>
  <si>
    <t>Al realizar una busqueda el aplicativo debera mostrar 4 botones para el filtrado de los cursos</t>
  </si>
  <si>
    <t>Comprobar que algun nombre de empleado que esta viendo algun curso no aparezca en el filtro de busqueda como si fuera el titulo del curso</t>
  </si>
  <si>
    <t>Ingresar el nombre de algun empleado que pueda estar viendo un curso</t>
  </si>
  <si>
    <t>Debe de redirigir a una nueva pagina con los cursos disponibles segun el termino buscado y deberan aparecer 4 botones para filtrarlos, por defecto debera ser TODOS</t>
  </si>
  <si>
    <t>Debe de redirigir a una nueva pagina con los usuarios disponibles segun el termino buscado</t>
  </si>
  <si>
    <t>Seleccionar el boton "Contenido del curso"</t>
  </si>
  <si>
    <t>Se deberen mostrar los cursos que en su contenido contengan la palabra con el termino buscado</t>
  </si>
  <si>
    <t>Dar clic en el filtro con el boton con el nombre "Cursos"</t>
  </si>
  <si>
    <t>Debera aparecer un aviso que diga "Sin resultados"</t>
  </si>
  <si>
    <t>Seleccionar el boton "Curso"</t>
  </si>
  <si>
    <t>Se deberen mostrar los cursos que en su su titulo sea o contenga la palabra con el termino buscado</t>
  </si>
  <si>
    <t>Seleccionar el boton "Usuarios"</t>
  </si>
  <si>
    <t>Se debera mostrar los usuarios que interactuan con los cursos que sean o contengan la palabra con el termino buscado</t>
  </si>
  <si>
    <t>ID CASO DE PRUEBA: CP-003</t>
  </si>
  <si>
    <t>ID CASO DE PRUEBA: CP-006</t>
  </si>
  <si>
    <t>Comprobar que en el dashboard principal esten todos los cursos a los cuales puede tener acceso sin necesidad de buscarlos, como tambien a los cursos recientes</t>
  </si>
  <si>
    <t>Verificar que el filtro de la fecha de modificacion funcione bien y no permita mostrar cursos con fecha superior de modificacion a la actual</t>
  </si>
  <si>
    <t>En la pagina principal de Choucari desplazarse hacia la parte inferior</t>
  </si>
  <si>
    <t>Se debera mostrar un filtro con los cursos recien vistos</t>
  </si>
  <si>
    <t>Se deberan mostrar todos los cursos a los cuales el empleado puede tener acceso</t>
  </si>
  <si>
    <t>Clic en el despleglable filtro</t>
  </si>
  <si>
    <t>No deberia aparecer ningun curso.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</si>
</sst>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\ _€_-;\-* #,##0.00\ _€_-;_-* &quot;-&quot;??\ _€_-;_-@_-"/>
    <numFmt numFmtId="164" formatCode="_(&quot;$&quot;* #,##0.00_);_(&quot;$&quot;* \(#,##0.00\);_(&quot;$&quot;* &quot;-&quot;??_);_(@_)"/>
    <numFmt numFmtId="165" formatCode="_(* #,##0.00_);_(* \(#,##0.00\);_(* &quot;-&quot;??_);_(@_)"/>
  </numFmts>
  <fonts count="3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b/>
      <sz val="9"/>
      <color theme="1"/>
      <name val="Arial"/>
      <family val="2"/>
    </font>
    <font>
      <sz val="10"/>
      <color theme="0"/>
      <name val="Arial"/>
      <family val="2"/>
    </font>
    <font>
      <b/>
      <sz val="10"/>
      <color rgb="FFFF0000"/>
      <name val="Arial"/>
      <family val="2"/>
    </font>
    <font>
      <b/>
      <sz val="10"/>
      <color rgb="FF000099"/>
      <name val="Arial"/>
      <family val="2"/>
    </font>
    <font>
      <sz val="11"/>
      <color theme="1"/>
      <name val="Arial"/>
    </font>
    <font>
      <b/>
      <sz val="11"/>
      <color theme="1"/>
      <name val="Arial"/>
    </font>
    <font>
      <b/>
      <sz val="10"/>
      <color theme="1"/>
      <name val="Arial"/>
    </font>
    <font>
      <sz val="10"/>
      <color theme="1"/>
      <name val="Arial"/>
    </font>
    <font>
      <sz val="10"/>
      <color theme="1"/>
      <name val="Arial"/>
      <charset val="1"/>
    </font>
    <font>
      <b/>
      <sz val="9"/>
      <color theme="1"/>
      <name val="Century Gothic"/>
      <charset val="1"/>
    </font>
    <font>
      <sz val="11"/>
      <color theme="1"/>
      <name val="Century Gothic"/>
      <charset val="1"/>
    </font>
    <font>
      <b/>
      <sz val="10"/>
      <color theme="1"/>
      <name val="Century Gothic"/>
      <charset val="1"/>
    </font>
    <font>
      <b/>
      <sz val="10"/>
      <color rgb="FFFFFFFF"/>
      <name val="Arial"/>
    </font>
    <font>
      <sz val="11"/>
      <color rgb="FF000000"/>
      <name val="Arial"/>
    </font>
    <font>
      <b/>
      <sz val="9"/>
      <color theme="1"/>
      <name val="Arial"/>
    </font>
    <font>
      <sz val="11"/>
      <color rgb="FFFF0000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AEEF3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333F4F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</borders>
  <cellStyleXfs count="58">
    <xf numFmtId="0" fontId="0" fillId="0" borderId="0"/>
    <xf numFmtId="43" fontId="1" fillId="0" borderId="0" applyFont="0" applyFill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6" borderId="0" applyNumberFormat="0" applyBorder="0" applyAlignment="0" applyProtection="0"/>
    <xf numFmtId="0" fontId="2" fillId="9" borderId="0" applyNumberFormat="0" applyBorder="0" applyAlignment="0" applyProtection="0"/>
    <xf numFmtId="0" fontId="2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20" borderId="0" applyNumberFormat="0" applyBorder="0" applyAlignment="0" applyProtection="0"/>
    <xf numFmtId="0" fontId="4" fillId="4" borderId="0" applyNumberFormat="0" applyBorder="0" applyAlignment="0" applyProtection="0"/>
    <xf numFmtId="0" fontId="5" fillId="21" borderId="1" applyNumberFormat="0" applyAlignment="0" applyProtection="0"/>
    <xf numFmtId="0" fontId="6" fillId="22" borderId="2" applyNumberFormat="0" applyAlignment="0" applyProtection="0"/>
    <xf numFmtId="0" fontId="7" fillId="0" borderId="0" applyNumberFormat="0" applyFill="0" applyBorder="0" applyAlignment="0" applyProtection="0"/>
    <xf numFmtId="0" fontId="8" fillId="5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8" borderId="1" applyNumberFormat="0" applyAlignment="0" applyProtection="0"/>
    <xf numFmtId="0" fontId="13" fillId="0" borderId="6" applyNumberFormat="0" applyFill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5" fillId="21" borderId="8" applyNumberFormat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165" fontId="1" fillId="0" borderId="0" applyFont="0" applyFill="0" applyBorder="0" applyAlignment="0" applyProtection="0"/>
    <xf numFmtId="0" fontId="23" fillId="36" borderId="0" applyNumberFormat="0" applyBorder="0" applyAlignment="0" applyProtection="0"/>
    <xf numFmtId="0" fontId="14" fillId="0" borderId="0"/>
    <xf numFmtId="0" fontId="1" fillId="0" borderId="0"/>
    <xf numFmtId="0" fontId="23" fillId="37" borderId="0" applyNumberFormat="0" applyBorder="0" applyAlignment="0" applyProtection="0"/>
    <xf numFmtId="0" fontId="23" fillId="34" borderId="0" applyNumberFormat="0" applyBorder="0" applyAlignment="0" applyProtection="0"/>
    <xf numFmtId="0" fontId="23" fillId="35" borderId="0" applyNumberFormat="0" applyBorder="0" applyAlignment="0" applyProtection="0"/>
  </cellStyleXfs>
  <cellXfs count="228">
    <xf numFmtId="0" fontId="0" fillId="0" borderId="0" xfId="0"/>
    <xf numFmtId="0" fontId="0" fillId="0" borderId="0" xfId="0" applyAlignment="1">
      <alignment horizontal="center"/>
    </xf>
    <xf numFmtId="0" fontId="22" fillId="2" borderId="9" xfId="0" applyFont="1" applyFill="1" applyBorder="1" applyAlignment="1">
      <alignment horizontal="center" vertical="center" wrapText="1"/>
    </xf>
    <xf numFmtId="0" fontId="22" fillId="2" borderId="9" xfId="0" applyFont="1" applyFill="1" applyBorder="1" applyAlignment="1">
      <alignment horizontal="center" vertical="center"/>
    </xf>
    <xf numFmtId="0" fontId="19" fillId="0" borderId="9" xfId="0" applyFont="1" applyBorder="1"/>
    <xf numFmtId="0" fontId="21" fillId="28" borderId="9" xfId="0" applyFont="1" applyFill="1" applyBorder="1" applyAlignment="1">
      <alignment horizontal="right"/>
    </xf>
    <xf numFmtId="0" fontId="21" fillId="28" borderId="9" xfId="0" applyFont="1" applyFill="1" applyBorder="1" applyAlignment="1">
      <alignment horizontal="center" vertical="center"/>
    </xf>
    <xf numFmtId="0" fontId="19" fillId="0" borderId="9" xfId="0" applyFont="1" applyBorder="1" applyAlignment="1">
      <alignment horizontal="left"/>
    </xf>
    <xf numFmtId="0" fontId="19" fillId="0" borderId="9" xfId="0" applyFont="1" applyBorder="1" applyAlignment="1">
      <alignment horizontal="left" wrapText="1"/>
    </xf>
    <xf numFmtId="0" fontId="0" fillId="0" borderId="14" xfId="0" applyBorder="1"/>
    <xf numFmtId="0" fontId="19" fillId="0" borderId="9" xfId="0" applyFont="1" applyBorder="1" applyAlignment="1">
      <alignment wrapText="1"/>
    </xf>
    <xf numFmtId="0" fontId="19" fillId="26" borderId="9" xfId="0" applyFont="1" applyFill="1" applyBorder="1" applyAlignment="1">
      <alignment horizontal="center"/>
    </xf>
    <xf numFmtId="0" fontId="26" fillId="0" borderId="0" xfId="0" applyFont="1"/>
    <xf numFmtId="0" fontId="29" fillId="0" borderId="0" xfId="0" applyFont="1"/>
    <xf numFmtId="0" fontId="29" fillId="0" borderId="13" xfId="0" applyFont="1" applyBorder="1"/>
    <xf numFmtId="0" fontId="20" fillId="24" borderId="9" xfId="0" applyFont="1" applyFill="1" applyBorder="1" applyAlignment="1">
      <alignment vertical="center"/>
    </xf>
    <xf numFmtId="0" fontId="20" fillId="24" borderId="9" xfId="0" applyFont="1" applyFill="1" applyBorder="1" applyAlignment="1">
      <alignment vertical="center" wrapText="1"/>
    </xf>
    <xf numFmtId="0" fontId="0" fillId="0" borderId="0" xfId="0" applyAlignment="1">
      <alignment vertical="top"/>
    </xf>
    <xf numFmtId="0" fontId="28" fillId="32" borderId="13" xfId="0" applyFont="1" applyFill="1" applyBorder="1" applyAlignment="1">
      <alignment horizontal="center"/>
    </xf>
    <xf numFmtId="0" fontId="28" fillId="32" borderId="20" xfId="0" applyFont="1" applyFill="1" applyBorder="1" applyAlignment="1">
      <alignment horizontal="center"/>
    </xf>
    <xf numFmtId="0" fontId="29" fillId="0" borderId="18" xfId="0" applyFont="1" applyBorder="1" applyAlignment="1">
      <alignment vertical="top" wrapText="1"/>
    </xf>
    <xf numFmtId="0" fontId="29" fillId="0" borderId="13" xfId="0" applyFont="1" applyBorder="1" applyAlignment="1">
      <alignment horizontal="center" vertical="center"/>
    </xf>
    <xf numFmtId="0" fontId="28" fillId="0" borderId="13" xfId="0" applyFont="1" applyBorder="1" applyAlignment="1">
      <alignment vertical="center"/>
    </xf>
    <xf numFmtId="0" fontId="28" fillId="2" borderId="13" xfId="0" applyFont="1" applyFill="1" applyBorder="1" applyAlignment="1">
      <alignment vertical="center"/>
    </xf>
    <xf numFmtId="0" fontId="28" fillId="2" borderId="13" xfId="0" applyFont="1" applyFill="1" applyBorder="1" applyAlignment="1">
      <alignment horizontal="center" vertical="center"/>
    </xf>
    <xf numFmtId="0" fontId="28" fillId="2" borderId="13" xfId="0" applyFont="1" applyFill="1" applyBorder="1" applyAlignment="1">
      <alignment horizontal="center" vertical="center" wrapText="1"/>
    </xf>
    <xf numFmtId="0" fontId="18" fillId="0" borderId="13" xfId="0" applyFont="1" applyBorder="1"/>
    <xf numFmtId="0" fontId="28" fillId="2" borderId="13" xfId="0" applyFont="1" applyFill="1" applyBorder="1"/>
    <xf numFmtId="0" fontId="29" fillId="27" borderId="13" xfId="0" applyFont="1" applyFill="1" applyBorder="1" applyAlignment="1">
      <alignment horizontal="center" vertical="center"/>
    </xf>
    <xf numFmtId="0" fontId="29" fillId="27" borderId="13" xfId="0" applyFont="1" applyFill="1" applyBorder="1" applyAlignment="1">
      <alignment horizontal="left" vertical="center" wrapText="1"/>
    </xf>
    <xf numFmtId="0" fontId="29" fillId="38" borderId="13" xfId="0" applyFont="1" applyFill="1" applyBorder="1" applyAlignment="1">
      <alignment horizontal="center" vertical="center"/>
    </xf>
    <xf numFmtId="0" fontId="29" fillId="38" borderId="13" xfId="0" applyFont="1" applyFill="1" applyBorder="1" applyAlignment="1">
      <alignment horizontal="left" vertical="center" wrapText="1"/>
    </xf>
    <xf numFmtId="0" fontId="29" fillId="28" borderId="13" xfId="0" applyFont="1" applyFill="1" applyBorder="1" applyAlignment="1">
      <alignment horizontal="center" vertical="center" wrapText="1"/>
    </xf>
    <xf numFmtId="0" fontId="29" fillId="28" borderId="13" xfId="0" applyFont="1" applyFill="1" applyBorder="1" applyAlignment="1">
      <alignment horizontal="left" vertical="center" wrapText="1"/>
    </xf>
    <xf numFmtId="0" fontId="29" fillId="28" borderId="13" xfId="0" applyFont="1" applyFill="1" applyBorder="1" applyAlignment="1">
      <alignment horizontal="center"/>
    </xf>
    <xf numFmtId="0" fontId="29" fillId="28" borderId="13" xfId="0" applyFont="1" applyFill="1" applyBorder="1" applyAlignment="1">
      <alignment horizontal="center" vertical="center"/>
    </xf>
    <xf numFmtId="0" fontId="29" fillId="39" borderId="13" xfId="0" applyFont="1" applyFill="1" applyBorder="1" applyAlignment="1">
      <alignment horizontal="center" vertical="center"/>
    </xf>
    <xf numFmtId="0" fontId="29" fillId="39" borderId="13" xfId="0" applyFont="1" applyFill="1" applyBorder="1" applyAlignment="1">
      <alignment horizontal="left" wrapText="1"/>
    </xf>
    <xf numFmtId="0" fontId="29" fillId="39" borderId="13" xfId="0" applyFont="1" applyFill="1" applyBorder="1" applyAlignment="1">
      <alignment horizontal="center"/>
    </xf>
    <xf numFmtId="0" fontId="29" fillId="33" borderId="13" xfId="0" applyFont="1" applyFill="1" applyBorder="1" applyAlignment="1">
      <alignment horizontal="center" vertical="center"/>
    </xf>
    <xf numFmtId="0" fontId="29" fillId="33" borderId="13" xfId="0" applyFont="1" applyFill="1" applyBorder="1" applyAlignment="1">
      <alignment horizontal="left" wrapText="1"/>
    </xf>
    <xf numFmtId="0" fontId="29" fillId="33" borderId="13" xfId="0" applyFont="1" applyFill="1" applyBorder="1" applyAlignment="1">
      <alignment horizontal="center"/>
    </xf>
    <xf numFmtId="0" fontId="29" fillId="33" borderId="23" xfId="0" applyFont="1" applyFill="1" applyBorder="1" applyAlignment="1">
      <alignment horizontal="center"/>
    </xf>
    <xf numFmtId="0" fontId="29" fillId="33" borderId="23" xfId="0" applyFont="1" applyFill="1" applyBorder="1" applyAlignment="1">
      <alignment horizontal="center" vertical="center"/>
    </xf>
    <xf numFmtId="0" fontId="0" fillId="30" borderId="13" xfId="0" applyFill="1" applyBorder="1" applyAlignment="1">
      <alignment horizontal="center"/>
    </xf>
    <xf numFmtId="0" fontId="18" fillId="31" borderId="23" xfId="0" applyFont="1" applyFill="1" applyBorder="1" applyAlignment="1">
      <alignment horizontal="left"/>
    </xf>
    <xf numFmtId="0" fontId="0" fillId="30" borderId="23" xfId="0" applyFill="1" applyBorder="1" applyAlignment="1">
      <alignment horizontal="center" vertical="center"/>
    </xf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30" xfId="0" applyBorder="1"/>
    <xf numFmtId="0" fontId="18" fillId="2" borderId="17" xfId="0" applyFont="1" applyFill="1" applyBorder="1"/>
    <xf numFmtId="0" fontId="0" fillId="31" borderId="18" xfId="0" applyFill="1" applyBorder="1" applyAlignment="1">
      <alignment horizontal="left" vertical="center"/>
    </xf>
    <xf numFmtId="0" fontId="29" fillId="27" borderId="31" xfId="0" applyFont="1" applyFill="1" applyBorder="1" applyAlignment="1">
      <alignment horizontal="left" vertical="center" wrapText="1"/>
    </xf>
    <xf numFmtId="0" fontId="29" fillId="27" borderId="18" xfId="0" applyFont="1" applyFill="1" applyBorder="1" applyAlignment="1">
      <alignment horizontal="left" vertical="center" wrapText="1"/>
    </xf>
    <xf numFmtId="0" fontId="29" fillId="38" borderId="18" xfId="0" applyFont="1" applyFill="1" applyBorder="1" applyAlignment="1">
      <alignment horizontal="left" vertical="center" wrapText="1"/>
    </xf>
    <xf numFmtId="0" fontId="29" fillId="28" borderId="18" xfId="0" applyFont="1" applyFill="1" applyBorder="1" applyAlignment="1">
      <alignment horizontal="left" vertical="center" wrapText="1"/>
    </xf>
    <xf numFmtId="0" fontId="29" fillId="39" borderId="18" xfId="0" applyFont="1" applyFill="1" applyBorder="1" applyAlignment="1">
      <alignment horizontal="left" wrapText="1"/>
    </xf>
    <xf numFmtId="0" fontId="29" fillId="33" borderId="18" xfId="0" applyFont="1" applyFill="1" applyBorder="1" applyAlignment="1">
      <alignment horizontal="left" wrapText="1"/>
    </xf>
    <xf numFmtId="0" fontId="18" fillId="2" borderId="31" xfId="0" applyFont="1" applyFill="1" applyBorder="1"/>
    <xf numFmtId="0" fontId="31" fillId="0" borderId="13" xfId="0" applyFont="1" applyBorder="1" applyAlignment="1">
      <alignment vertical="center" readingOrder="1"/>
    </xf>
    <xf numFmtId="14" fontId="30" fillId="0" borderId="13" xfId="0" applyNumberFormat="1" applyFont="1" applyBorder="1" applyAlignment="1">
      <alignment readingOrder="1"/>
    </xf>
    <xf numFmtId="0" fontId="32" fillId="46" borderId="13" xfId="0" applyFont="1" applyFill="1" applyBorder="1" applyAlignment="1">
      <alignment wrapText="1" readingOrder="1"/>
    </xf>
    <xf numFmtId="0" fontId="32" fillId="48" borderId="13" xfId="0" applyFont="1" applyFill="1" applyBorder="1" applyAlignment="1">
      <alignment wrapText="1" readingOrder="1"/>
    </xf>
    <xf numFmtId="0" fontId="32" fillId="40" borderId="13" xfId="0" applyFont="1" applyFill="1" applyBorder="1" applyAlignment="1">
      <alignment wrapText="1" readingOrder="1"/>
    </xf>
    <xf numFmtId="0" fontId="30" fillId="0" borderId="13" xfId="0" applyFont="1" applyBorder="1" applyAlignment="1">
      <alignment wrapText="1" readingOrder="1"/>
    </xf>
    <xf numFmtId="0" fontId="31" fillId="0" borderId="13" xfId="0" applyFont="1" applyBorder="1" applyAlignment="1">
      <alignment vertical="center" wrapText="1" readingOrder="1"/>
    </xf>
    <xf numFmtId="0" fontId="31" fillId="0" borderId="13" xfId="0" applyFont="1" applyBorder="1" applyAlignment="1">
      <alignment horizontal="center" vertical="center" wrapText="1" readingOrder="1"/>
    </xf>
    <xf numFmtId="14" fontId="0" fillId="0" borderId="13" xfId="0" applyNumberFormat="1" applyBorder="1"/>
    <xf numFmtId="0" fontId="18" fillId="2" borderId="24" xfId="0" applyFont="1" applyFill="1" applyBorder="1"/>
    <xf numFmtId="0" fontId="34" fillId="41" borderId="13" xfId="0" applyFont="1" applyFill="1" applyBorder="1" applyAlignment="1">
      <alignment readingOrder="1"/>
    </xf>
    <xf numFmtId="0" fontId="34" fillId="42" borderId="13" xfId="0" applyFont="1" applyFill="1" applyBorder="1" applyAlignment="1">
      <alignment readingOrder="1"/>
    </xf>
    <xf numFmtId="0" fontId="34" fillId="43" borderId="13" xfId="0" applyFont="1" applyFill="1" applyBorder="1" applyAlignment="1">
      <alignment wrapText="1" readingOrder="1"/>
    </xf>
    <xf numFmtId="0" fontId="34" fillId="44" borderId="13" xfId="0" applyFont="1" applyFill="1" applyBorder="1" applyAlignment="1">
      <alignment wrapText="1" readingOrder="1"/>
    </xf>
    <xf numFmtId="0" fontId="34" fillId="45" borderId="13" xfId="0" applyFont="1" applyFill="1" applyBorder="1" applyAlignment="1">
      <alignment readingOrder="1"/>
    </xf>
    <xf numFmtId="0" fontId="26" fillId="46" borderId="13" xfId="0" applyFont="1" applyFill="1" applyBorder="1" applyAlignment="1">
      <alignment wrapText="1" readingOrder="1"/>
    </xf>
    <xf numFmtId="0" fontId="35" fillId="47" borderId="13" xfId="0" applyFont="1" applyFill="1" applyBorder="1" applyAlignment="1">
      <alignment horizontal="left" vertical="top" wrapText="1" readingOrder="1"/>
    </xf>
    <xf numFmtId="0" fontId="26" fillId="0" borderId="13" xfId="0" applyFont="1" applyBorder="1" applyAlignment="1">
      <alignment wrapText="1" readingOrder="1"/>
    </xf>
    <xf numFmtId="0" fontId="26" fillId="48" borderId="13" xfId="0" applyFont="1" applyFill="1" applyBorder="1" applyAlignment="1">
      <alignment wrapText="1" readingOrder="1"/>
    </xf>
    <xf numFmtId="0" fontId="26" fillId="40" borderId="13" xfId="0" applyFont="1" applyFill="1" applyBorder="1" applyAlignment="1">
      <alignment wrapText="1" readingOrder="1"/>
    </xf>
    <xf numFmtId="0" fontId="29" fillId="0" borderId="13" xfId="0" applyFont="1" applyBorder="1" applyAlignment="1">
      <alignment wrapText="1" readingOrder="1"/>
    </xf>
    <xf numFmtId="0" fontId="26" fillId="0" borderId="0" xfId="0" applyFont="1" applyAlignment="1">
      <alignment wrapText="1"/>
    </xf>
    <xf numFmtId="0" fontId="26" fillId="47" borderId="13" xfId="0" applyFont="1" applyFill="1" applyBorder="1" applyAlignment="1">
      <alignment horizontal="left" vertical="top" wrapText="1" readingOrder="1"/>
    </xf>
    <xf numFmtId="0" fontId="36" fillId="0" borderId="13" xfId="0" applyFont="1" applyBorder="1" applyAlignment="1">
      <alignment vertical="center" readingOrder="1"/>
    </xf>
    <xf numFmtId="0" fontId="36" fillId="0" borderId="13" xfId="0" applyFont="1" applyBorder="1" applyAlignment="1">
      <alignment vertical="center" wrapText="1" readingOrder="1"/>
    </xf>
    <xf numFmtId="0" fontId="36" fillId="0" borderId="13" xfId="0" applyFont="1" applyBorder="1" applyAlignment="1">
      <alignment horizontal="center" vertical="center" wrapText="1" readingOrder="1"/>
    </xf>
    <xf numFmtId="0" fontId="35" fillId="47" borderId="13" xfId="0" applyFont="1" applyFill="1" applyBorder="1" applyAlignment="1">
      <alignment horizontal="left" wrapText="1" readingOrder="1"/>
    </xf>
    <xf numFmtId="0" fontId="26" fillId="47" borderId="13" xfId="0" applyFont="1" applyFill="1" applyBorder="1" applyAlignment="1">
      <alignment horizontal="left" wrapText="1" readingOrder="1"/>
    </xf>
    <xf numFmtId="0" fontId="0" fillId="0" borderId="13" xfId="0" applyBorder="1" applyAlignment="1">
      <alignment horizontal="center"/>
    </xf>
    <xf numFmtId="0" fontId="18" fillId="2" borderId="13" xfId="0" applyFont="1" applyFill="1" applyBorder="1" applyAlignment="1">
      <alignment horizontal="center"/>
    </xf>
    <xf numFmtId="0" fontId="29" fillId="2" borderId="13" xfId="0" applyFont="1" applyFill="1" applyBorder="1"/>
    <xf numFmtId="0" fontId="19" fillId="0" borderId="13" xfId="0" applyFont="1" applyBorder="1" applyAlignment="1">
      <alignment vertical="center" indent="1"/>
    </xf>
    <xf numFmtId="0" fontId="19" fillId="0" borderId="18" xfId="0" applyFont="1" applyBorder="1" applyAlignment="1">
      <alignment vertical="center" indent="1"/>
    </xf>
    <xf numFmtId="0" fontId="19" fillId="0" borderId="16" xfId="0" applyFont="1" applyBorder="1" applyAlignment="1">
      <alignment vertical="center" indent="1"/>
    </xf>
    <xf numFmtId="0" fontId="29" fillId="2" borderId="18" xfId="0" applyFont="1" applyFill="1" applyBorder="1"/>
    <xf numFmtId="0" fontId="28" fillId="2" borderId="17" xfId="0" applyFont="1" applyFill="1" applyBorder="1"/>
    <xf numFmtId="0" fontId="29" fillId="0" borderId="17" xfId="0" applyFont="1" applyBorder="1" applyAlignment="1">
      <alignment horizontal="left" wrapText="1"/>
    </xf>
    <xf numFmtId="0" fontId="29" fillId="0" borderId="13" xfId="0" applyFont="1" applyBorder="1" applyAlignment="1">
      <alignment horizontal="left" wrapText="1"/>
    </xf>
    <xf numFmtId="0" fontId="37" fillId="49" borderId="20" xfId="0" applyFont="1" applyFill="1" applyBorder="1"/>
    <xf numFmtId="0" fontId="37" fillId="49" borderId="32" xfId="0" applyFont="1" applyFill="1" applyBorder="1"/>
    <xf numFmtId="0" fontId="37" fillId="49" borderId="0" xfId="0" applyFont="1" applyFill="1"/>
    <xf numFmtId="0" fontId="37" fillId="49" borderId="31" xfId="0" applyFont="1" applyFill="1" applyBorder="1"/>
    <xf numFmtId="0" fontId="37" fillId="49" borderId="34" xfId="0" applyFont="1" applyFill="1" applyBorder="1"/>
    <xf numFmtId="0" fontId="18" fillId="0" borderId="23" xfId="0" applyFont="1" applyBorder="1"/>
    <xf numFmtId="0" fontId="0" fillId="0" borderId="22" xfId="0" applyBorder="1"/>
    <xf numFmtId="0" fontId="0" fillId="0" borderId="35" xfId="0" applyBorder="1"/>
    <xf numFmtId="0" fontId="0" fillId="0" borderId="33" xfId="0" applyBorder="1"/>
    <xf numFmtId="0" fontId="37" fillId="39" borderId="32" xfId="0" applyFont="1" applyFill="1" applyBorder="1"/>
    <xf numFmtId="0" fontId="37" fillId="32" borderId="0" xfId="0" applyFont="1" applyFill="1"/>
    <xf numFmtId="0" fontId="37" fillId="25" borderId="0" xfId="0" applyFont="1" applyFill="1"/>
    <xf numFmtId="0" fontId="37" fillId="31" borderId="0" xfId="0" applyFont="1" applyFill="1"/>
    <xf numFmtId="0" fontId="37" fillId="31" borderId="34" xfId="0" applyFont="1" applyFill="1" applyBorder="1"/>
    <xf numFmtId="0" fontId="0" fillId="50" borderId="33" xfId="0" applyFill="1" applyBorder="1"/>
    <xf numFmtId="0" fontId="37" fillId="50" borderId="0" xfId="0" applyFont="1" applyFill="1"/>
    <xf numFmtId="0" fontId="37" fillId="50" borderId="21" xfId="0" applyFont="1" applyFill="1" applyBorder="1"/>
    <xf numFmtId="0" fontId="37" fillId="50" borderId="32" xfId="0" applyFont="1" applyFill="1" applyBorder="1"/>
    <xf numFmtId="0" fontId="29" fillId="2" borderId="13" xfId="0" applyFont="1" applyFill="1" applyBorder="1" applyAlignment="1">
      <alignment wrapText="1"/>
    </xf>
    <xf numFmtId="0" fontId="29" fillId="2" borderId="18" xfId="0" applyFont="1" applyFill="1" applyBorder="1" applyAlignment="1">
      <alignment horizontal="left" wrapText="1"/>
    </xf>
    <xf numFmtId="0" fontId="29" fillId="0" borderId="23" xfId="0" applyFont="1" applyBorder="1" applyAlignment="1">
      <alignment horizontal="left" wrapText="1"/>
    </xf>
    <xf numFmtId="0" fontId="29" fillId="0" borderId="24" xfId="0" applyFont="1" applyBorder="1" applyAlignment="1">
      <alignment horizontal="left" wrapText="1"/>
    </xf>
    <xf numFmtId="0" fontId="29" fillId="0" borderId="17" xfId="0" applyFont="1" applyBorder="1" applyAlignment="1">
      <alignment horizontal="left" wrapText="1"/>
    </xf>
    <xf numFmtId="0" fontId="28" fillId="25" borderId="13" xfId="0" applyFont="1" applyFill="1" applyBorder="1" applyAlignment="1">
      <alignment horizontal="center"/>
    </xf>
    <xf numFmtId="0" fontId="19" fillId="0" borderId="18" xfId="0" applyFont="1" applyBorder="1" applyAlignment="1">
      <alignment horizontal="left" vertical="center" indent="1"/>
    </xf>
    <xf numFmtId="0" fontId="19" fillId="0" borderId="19" xfId="0" applyFont="1" applyBorder="1" applyAlignment="1">
      <alignment horizontal="left" vertical="center" indent="1"/>
    </xf>
    <xf numFmtId="0" fontId="19" fillId="0" borderId="16" xfId="0" applyFont="1" applyBorder="1" applyAlignment="1">
      <alignment horizontal="left" vertical="center" indent="1"/>
    </xf>
    <xf numFmtId="0" fontId="19" fillId="0" borderId="20" xfId="0" applyFont="1" applyBorder="1" applyAlignment="1">
      <alignment horizontal="left" vertical="center" indent="1"/>
    </xf>
    <xf numFmtId="0" fontId="19" fillId="0" borderId="21" xfId="0" applyFont="1" applyBorder="1" applyAlignment="1">
      <alignment horizontal="left" vertical="center" indent="1"/>
    </xf>
    <xf numFmtId="0" fontId="19" fillId="0" borderId="22" xfId="0" applyFont="1" applyBorder="1" applyAlignment="1">
      <alignment horizontal="left" vertical="center" indent="1"/>
    </xf>
    <xf numFmtId="0" fontId="19" fillId="0" borderId="32" xfId="0" applyFont="1" applyBorder="1" applyAlignment="1">
      <alignment horizontal="left" vertical="center" indent="1"/>
    </xf>
    <xf numFmtId="0" fontId="19" fillId="0" borderId="0" xfId="0" applyFont="1" applyAlignment="1">
      <alignment horizontal="left" vertical="center" indent="1"/>
    </xf>
    <xf numFmtId="0" fontId="19" fillId="0" borderId="35" xfId="0" applyFont="1" applyBorder="1" applyAlignment="1">
      <alignment horizontal="left" vertical="center" indent="1"/>
    </xf>
    <xf numFmtId="0" fontId="19" fillId="0" borderId="31" xfId="0" applyFont="1" applyBorder="1" applyAlignment="1">
      <alignment horizontal="left" vertical="center" indent="1"/>
    </xf>
    <xf numFmtId="0" fontId="19" fillId="0" borderId="34" xfId="0" applyFont="1" applyBorder="1" applyAlignment="1">
      <alignment horizontal="left" vertical="center" indent="1"/>
    </xf>
    <xf numFmtId="0" fontId="19" fillId="0" borderId="33" xfId="0" applyFont="1" applyBorder="1" applyAlignment="1">
      <alignment horizontal="left" vertical="center" indent="1"/>
    </xf>
    <xf numFmtId="0" fontId="20" fillId="29" borderId="13" xfId="0" applyFont="1" applyFill="1" applyBorder="1" applyAlignment="1">
      <alignment horizontal="left" vertical="center" indent="1"/>
    </xf>
    <xf numFmtId="0" fontId="19" fillId="24" borderId="13" xfId="0" applyFont="1" applyFill="1" applyBorder="1" applyAlignment="1">
      <alignment horizontal="left" vertical="center" wrapText="1" indent="1"/>
    </xf>
    <xf numFmtId="14" fontId="19" fillId="24" borderId="13" xfId="0" applyNumberFormat="1" applyFont="1" applyFill="1" applyBorder="1" applyAlignment="1">
      <alignment horizontal="left" vertical="center" wrapText="1" indent="1"/>
    </xf>
    <xf numFmtId="0" fontId="28" fillId="25" borderId="13" xfId="0" applyFont="1" applyFill="1" applyBorder="1" applyAlignment="1">
      <alignment horizontal="center" vertical="center"/>
    </xf>
    <xf numFmtId="0" fontId="29" fillId="0" borderId="23" xfId="0" applyFont="1" applyBorder="1" applyAlignment="1">
      <alignment horizontal="left" vertical="center" wrapText="1"/>
    </xf>
    <xf numFmtId="0" fontId="29" fillId="0" borderId="24" xfId="0" applyFont="1" applyBorder="1" applyAlignment="1">
      <alignment horizontal="left" vertical="center" wrapText="1"/>
    </xf>
    <xf numFmtId="0" fontId="29" fillId="0" borderId="17" xfId="0" applyFont="1" applyBorder="1" applyAlignment="1">
      <alignment horizontal="left" vertical="center" wrapText="1"/>
    </xf>
    <xf numFmtId="0" fontId="19" fillId="0" borderId="10" xfId="0" applyFont="1" applyBorder="1" applyAlignment="1">
      <alignment horizontal="center" vertical="center" wrapText="1"/>
    </xf>
    <xf numFmtId="0" fontId="19" fillId="0" borderId="11" xfId="0" applyFont="1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 wrapText="1"/>
    </xf>
    <xf numFmtId="0" fontId="28" fillId="25" borderId="23" xfId="0" applyFont="1" applyFill="1" applyBorder="1" applyAlignment="1">
      <alignment horizontal="center"/>
    </xf>
    <xf numFmtId="0" fontId="21" fillId="25" borderId="10" xfId="0" applyFont="1" applyFill="1" applyBorder="1" applyAlignment="1">
      <alignment horizontal="center"/>
    </xf>
    <xf numFmtId="0" fontId="21" fillId="25" borderId="11" xfId="0" applyFont="1" applyFill="1" applyBorder="1" applyAlignment="1">
      <alignment horizontal="center"/>
    </xf>
    <xf numFmtId="0" fontId="21" fillId="25" borderId="12" xfId="0" applyFont="1" applyFill="1" applyBorder="1" applyAlignment="1">
      <alignment horizontal="center"/>
    </xf>
    <xf numFmtId="0" fontId="21" fillId="25" borderId="9" xfId="0" applyFont="1" applyFill="1" applyBorder="1" applyAlignment="1">
      <alignment horizontal="center"/>
    </xf>
    <xf numFmtId="0" fontId="28" fillId="2" borderId="17" xfId="0" applyFont="1" applyFill="1" applyBorder="1" applyAlignment="1">
      <alignment horizontal="center"/>
    </xf>
    <xf numFmtId="0" fontId="29" fillId="0" borderId="13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6" xfId="0" applyFont="1" applyBorder="1" applyAlignment="1">
      <alignment horizontal="center"/>
    </xf>
    <xf numFmtId="0" fontId="29" fillId="0" borderId="18" xfId="0" applyFont="1" applyBorder="1" applyAlignment="1">
      <alignment horizontal="center" wrapText="1"/>
    </xf>
    <xf numFmtId="0" fontId="29" fillId="0" borderId="19" xfId="0" applyFont="1" applyBorder="1" applyAlignment="1">
      <alignment horizontal="center" wrapText="1"/>
    </xf>
    <xf numFmtId="0" fontId="29" fillId="0" borderId="16" xfId="0" applyFont="1" applyBorder="1" applyAlignment="1">
      <alignment horizontal="center" wrapText="1"/>
    </xf>
    <xf numFmtId="0" fontId="29" fillId="0" borderId="19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29" fillId="0" borderId="21" xfId="0" applyFont="1" applyBorder="1" applyAlignment="1">
      <alignment horizontal="center"/>
    </xf>
    <xf numFmtId="0" fontId="28" fillId="25" borderId="20" xfId="0" applyFont="1" applyFill="1" applyBorder="1" applyAlignment="1">
      <alignment horizontal="center"/>
    </xf>
    <xf numFmtId="0" fontId="28" fillId="25" borderId="21" xfId="0" applyFont="1" applyFill="1" applyBorder="1" applyAlignment="1">
      <alignment horizontal="center"/>
    </xf>
    <xf numFmtId="0" fontId="28" fillId="25" borderId="22" xfId="0" applyFont="1" applyFill="1" applyBorder="1" applyAlignment="1">
      <alignment horizontal="center"/>
    </xf>
    <xf numFmtId="0" fontId="29" fillId="27" borderId="13" xfId="0" applyFont="1" applyFill="1" applyBorder="1" applyAlignment="1">
      <alignment horizontal="center" vertical="center"/>
    </xf>
    <xf numFmtId="0" fontId="29" fillId="38" borderId="13" xfId="0" applyFont="1" applyFill="1" applyBorder="1" applyAlignment="1">
      <alignment horizontal="center" vertical="center"/>
    </xf>
    <xf numFmtId="0" fontId="29" fillId="28" borderId="13" xfId="0" applyFont="1" applyFill="1" applyBorder="1" applyAlignment="1">
      <alignment horizontal="center" vertical="center" wrapText="1"/>
    </xf>
    <xf numFmtId="0" fontId="29" fillId="33" borderId="13" xfId="0" applyFont="1" applyFill="1" applyBorder="1" applyAlignment="1">
      <alignment horizontal="center" vertical="center"/>
    </xf>
    <xf numFmtId="0" fontId="18" fillId="0" borderId="13" xfId="0" applyFont="1" applyBorder="1" applyAlignment="1">
      <alignment horizontal="center"/>
    </xf>
    <xf numFmtId="0" fontId="29" fillId="39" borderId="13" xfId="0" applyFont="1" applyFill="1" applyBorder="1" applyAlignment="1">
      <alignment horizontal="center" vertical="center"/>
    </xf>
    <xf numFmtId="0" fontId="18" fillId="25" borderId="13" xfId="0" applyFont="1" applyFill="1" applyBorder="1" applyAlignment="1">
      <alignment horizontal="center"/>
    </xf>
    <xf numFmtId="0" fontId="18" fillId="31" borderId="23" xfId="0" applyFont="1" applyFill="1" applyBorder="1" applyAlignment="1">
      <alignment horizontal="left"/>
    </xf>
    <xf numFmtId="0" fontId="0" fillId="30" borderId="13" xfId="0" applyFill="1" applyBorder="1" applyAlignment="1">
      <alignment horizontal="center"/>
    </xf>
    <xf numFmtId="0" fontId="0" fillId="30" borderId="23" xfId="0" applyFill="1" applyBorder="1" applyAlignment="1">
      <alignment horizontal="center"/>
    </xf>
    <xf numFmtId="0" fontId="18" fillId="0" borderId="27" xfId="0" applyFont="1" applyBorder="1" applyAlignment="1">
      <alignment horizontal="center" wrapText="1"/>
    </xf>
    <xf numFmtId="0" fontId="18" fillId="0" borderId="28" xfId="0" applyFont="1" applyBorder="1" applyAlignment="1">
      <alignment horizontal="center" wrapText="1"/>
    </xf>
    <xf numFmtId="0" fontId="18" fillId="0" borderId="1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0" fillId="31" borderId="13" xfId="0" applyFill="1" applyBorder="1" applyAlignment="1">
      <alignment horizontal="center" vertical="center"/>
    </xf>
    <xf numFmtId="0" fontId="18" fillId="0" borderId="18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18" fillId="25" borderId="18" xfId="0" applyFont="1" applyFill="1" applyBorder="1" applyAlignment="1">
      <alignment horizontal="center"/>
    </xf>
    <xf numFmtId="0" fontId="29" fillId="27" borderId="17" xfId="0" applyFont="1" applyFill="1" applyBorder="1" applyAlignment="1">
      <alignment horizontal="center" vertical="center"/>
    </xf>
    <xf numFmtId="0" fontId="27" fillId="25" borderId="13" xfId="0" applyFont="1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3" xfId="0" applyBorder="1" applyAlignment="1">
      <alignment horizontal="left"/>
    </xf>
    <xf numFmtId="0" fontId="18" fillId="2" borderId="18" xfId="0" applyFont="1" applyFill="1" applyBorder="1" applyAlignment="1">
      <alignment horizontal="center"/>
    </xf>
    <xf numFmtId="0" fontId="18" fillId="2" borderId="16" xfId="0" applyFont="1" applyFill="1" applyBorder="1" applyAlignment="1">
      <alignment horizontal="center"/>
    </xf>
    <xf numFmtId="0" fontId="31" fillId="0" borderId="18" xfId="0" applyFont="1" applyBorder="1" applyAlignment="1">
      <alignment horizontal="center" vertical="center" wrapText="1" readingOrder="1"/>
    </xf>
    <xf numFmtId="0" fontId="31" fillId="0" borderId="19" xfId="0" applyFont="1" applyBorder="1" applyAlignment="1">
      <alignment horizontal="center" vertical="center" wrapText="1" readingOrder="1"/>
    </xf>
    <xf numFmtId="0" fontId="31" fillId="0" borderId="16" xfId="0" applyFont="1" applyBorder="1" applyAlignment="1">
      <alignment horizontal="center" vertical="center" wrapText="1" readingOrder="1"/>
    </xf>
    <xf numFmtId="0" fontId="33" fillId="2" borderId="18" xfId="0" applyFont="1" applyFill="1" applyBorder="1" applyAlignment="1">
      <alignment horizontal="center" wrapText="1" readingOrder="1"/>
    </xf>
    <xf numFmtId="0" fontId="33" fillId="2" borderId="19" xfId="0" applyFont="1" applyFill="1" applyBorder="1" applyAlignment="1">
      <alignment horizontal="center" wrapText="1" readingOrder="1"/>
    </xf>
    <xf numFmtId="0" fontId="33" fillId="2" borderId="16" xfId="0" applyFont="1" applyFill="1" applyBorder="1" applyAlignment="1">
      <alignment horizontal="center" wrapText="1" readingOrder="1"/>
    </xf>
    <xf numFmtId="0" fontId="30" fillId="0" borderId="18" xfId="0" applyFont="1" applyBorder="1" applyAlignment="1">
      <alignment horizontal="left" vertical="center" wrapText="1" readingOrder="1"/>
    </xf>
    <xf numFmtId="0" fontId="30" fillId="0" borderId="19" xfId="0" applyFont="1" applyBorder="1" applyAlignment="1">
      <alignment horizontal="left" vertical="center" wrapText="1" readingOrder="1"/>
    </xf>
    <xf numFmtId="0" fontId="30" fillId="0" borderId="16" xfId="0" applyFont="1" applyBorder="1" applyAlignment="1">
      <alignment horizontal="left" vertical="center" wrapText="1" readingOrder="1"/>
    </xf>
    <xf numFmtId="0" fontId="31" fillId="0" borderId="18" xfId="0" applyFont="1" applyBorder="1" applyAlignment="1">
      <alignment horizontal="left" vertical="center" readingOrder="1"/>
    </xf>
    <xf numFmtId="0" fontId="31" fillId="0" borderId="16" xfId="0" applyFont="1" applyBorder="1" applyAlignment="1">
      <alignment horizontal="left" vertical="center" readingOrder="1"/>
    </xf>
    <xf numFmtId="0" fontId="30" fillId="0" borderId="18" xfId="0" applyFont="1" applyBorder="1" applyAlignment="1">
      <alignment horizontal="left" vertical="center" readingOrder="1"/>
    </xf>
    <xf numFmtId="0" fontId="30" fillId="0" borderId="19" xfId="0" applyFont="1" applyBorder="1" applyAlignment="1">
      <alignment horizontal="left" vertical="center" readingOrder="1"/>
    </xf>
    <xf numFmtId="0" fontId="30" fillId="0" borderId="16" xfId="0" applyFont="1" applyBorder="1" applyAlignment="1">
      <alignment horizontal="left" vertical="center" readingOrder="1"/>
    </xf>
    <xf numFmtId="0" fontId="31" fillId="0" borderId="18" xfId="0" applyFont="1" applyBorder="1" applyAlignment="1">
      <alignment vertical="center" readingOrder="1"/>
    </xf>
    <xf numFmtId="0" fontId="31" fillId="0" borderId="16" xfId="0" applyFont="1" applyBorder="1" applyAlignment="1">
      <alignment vertical="center" readingOrder="1"/>
    </xf>
    <xf numFmtId="0" fontId="28" fillId="2" borderId="18" xfId="0" applyFont="1" applyFill="1" applyBorder="1" applyAlignment="1">
      <alignment horizontal="center" wrapText="1" readingOrder="1"/>
    </xf>
    <xf numFmtId="0" fontId="28" fillId="2" borderId="19" xfId="0" applyFont="1" applyFill="1" applyBorder="1" applyAlignment="1">
      <alignment horizontal="center" wrapText="1" readingOrder="1"/>
    </xf>
    <xf numFmtId="0" fontId="28" fillId="2" borderId="16" xfId="0" applyFont="1" applyFill="1" applyBorder="1" applyAlignment="1">
      <alignment horizontal="center" wrapText="1" readingOrder="1"/>
    </xf>
    <xf numFmtId="0" fontId="29" fillId="0" borderId="18" xfId="0" applyFont="1" applyBorder="1" applyAlignment="1">
      <alignment horizontal="left" vertical="center" wrapText="1" readingOrder="1"/>
    </xf>
    <xf numFmtId="0" fontId="29" fillId="0" borderId="19" xfId="0" applyFont="1" applyBorder="1" applyAlignment="1">
      <alignment horizontal="left" vertical="center" wrapText="1" readingOrder="1"/>
    </xf>
    <xf numFmtId="0" fontId="29" fillId="0" borderId="16" xfId="0" applyFont="1" applyBorder="1" applyAlignment="1">
      <alignment horizontal="left" vertical="center" wrapText="1" readingOrder="1"/>
    </xf>
    <xf numFmtId="0" fontId="36" fillId="0" borderId="18" xfId="0" applyFont="1" applyBorder="1" applyAlignment="1">
      <alignment vertical="center" readingOrder="1"/>
    </xf>
    <xf numFmtId="0" fontId="36" fillId="0" borderId="16" xfId="0" applyFont="1" applyBorder="1" applyAlignment="1">
      <alignment vertical="center" readingOrder="1"/>
    </xf>
    <xf numFmtId="0" fontId="29" fillId="0" borderId="18" xfId="0" applyFont="1" applyBorder="1" applyAlignment="1">
      <alignment horizontal="left" vertical="center" readingOrder="1"/>
    </xf>
    <xf numFmtId="0" fontId="29" fillId="0" borderId="19" xfId="0" applyFont="1" applyBorder="1" applyAlignment="1">
      <alignment horizontal="left" vertical="center" readingOrder="1"/>
    </xf>
    <xf numFmtId="0" fontId="29" fillId="0" borderId="16" xfId="0" applyFont="1" applyBorder="1" applyAlignment="1">
      <alignment horizontal="left" vertical="center" readingOrder="1"/>
    </xf>
    <xf numFmtId="0" fontId="36" fillId="0" borderId="18" xfId="0" applyFont="1" applyBorder="1" applyAlignment="1">
      <alignment horizontal="left" vertical="center" readingOrder="1"/>
    </xf>
    <xf numFmtId="0" fontId="36" fillId="0" borderId="16" xfId="0" applyFont="1" applyBorder="1" applyAlignment="1">
      <alignment horizontal="left" vertical="center" readingOrder="1"/>
    </xf>
    <xf numFmtId="0" fontId="36" fillId="0" borderId="18" xfId="0" applyFont="1" applyBorder="1" applyAlignment="1">
      <alignment horizontal="center" vertical="center" wrapText="1" readingOrder="1"/>
    </xf>
    <xf numFmtId="0" fontId="36" fillId="0" borderId="19" xfId="0" applyFont="1" applyBorder="1" applyAlignment="1">
      <alignment horizontal="center" vertical="center" wrapText="1" readingOrder="1"/>
    </xf>
    <xf numFmtId="0" fontId="36" fillId="0" borderId="16" xfId="0" applyFont="1" applyBorder="1" applyAlignment="1">
      <alignment horizontal="center" vertical="center" wrapText="1" readingOrder="1"/>
    </xf>
    <xf numFmtId="0" fontId="18" fillId="24" borderId="18" xfId="0" applyFont="1" applyFill="1" applyBorder="1" applyAlignment="1">
      <alignment horizontal="center"/>
    </xf>
    <xf numFmtId="0" fontId="18" fillId="24" borderId="19" xfId="0" applyFont="1" applyFill="1" applyBorder="1" applyAlignment="1">
      <alignment horizontal="center"/>
    </xf>
    <xf numFmtId="0" fontId="18" fillId="24" borderId="16" xfId="0" applyFont="1" applyFill="1" applyBorder="1" applyAlignment="1">
      <alignment horizontal="center"/>
    </xf>
    <xf numFmtId="0" fontId="28" fillId="25" borderId="18" xfId="0" applyFont="1" applyFill="1" applyBorder="1" applyAlignment="1">
      <alignment horizontal="center"/>
    </xf>
    <xf numFmtId="0" fontId="28" fillId="25" borderId="19" xfId="0" applyFont="1" applyFill="1" applyBorder="1" applyAlignment="1">
      <alignment horizontal="center"/>
    </xf>
    <xf numFmtId="0" fontId="28" fillId="25" borderId="16" xfId="0" applyFont="1" applyFill="1" applyBorder="1" applyAlignment="1">
      <alignment horizontal="center"/>
    </xf>
  </cellXfs>
  <cellStyles count="58">
    <cellStyle name="%" xfId="53" xr:uid="{00000000-0005-0000-0000-000000000000}"/>
    <cellStyle name="20% - Accent1" xfId="2" xr:uid="{00000000-0005-0000-0000-000001000000}"/>
    <cellStyle name="20% - Accent2" xfId="3" xr:uid="{00000000-0005-0000-0000-000002000000}"/>
    <cellStyle name="20% - Accent3" xfId="4" xr:uid="{00000000-0005-0000-0000-000003000000}"/>
    <cellStyle name="20% - Accent4" xfId="5" xr:uid="{00000000-0005-0000-0000-000004000000}"/>
    <cellStyle name="20% - Accent5" xfId="6" xr:uid="{00000000-0005-0000-0000-000005000000}"/>
    <cellStyle name="20% - Accent6" xfId="7" xr:uid="{00000000-0005-0000-0000-000006000000}"/>
    <cellStyle name="40% - Accent1" xfId="8" xr:uid="{00000000-0005-0000-0000-000007000000}"/>
    <cellStyle name="40% - Accent2" xfId="9" xr:uid="{00000000-0005-0000-0000-000008000000}"/>
    <cellStyle name="40% - Accent3" xfId="10" xr:uid="{00000000-0005-0000-0000-000009000000}"/>
    <cellStyle name="40% - Accent4" xfId="11" xr:uid="{00000000-0005-0000-0000-00000A000000}"/>
    <cellStyle name="40% - Accent5" xfId="12" xr:uid="{00000000-0005-0000-0000-00000B000000}"/>
    <cellStyle name="40% - Accent6" xfId="13" xr:uid="{00000000-0005-0000-0000-00000C000000}"/>
    <cellStyle name="60% - Accent1" xfId="14" xr:uid="{00000000-0005-0000-0000-00000D000000}"/>
    <cellStyle name="60% - Accent2" xfId="15" xr:uid="{00000000-0005-0000-0000-00000E000000}"/>
    <cellStyle name="60% - Accent3" xfId="16" xr:uid="{00000000-0005-0000-0000-00000F000000}"/>
    <cellStyle name="60% - Accent4" xfId="17" xr:uid="{00000000-0005-0000-0000-000010000000}"/>
    <cellStyle name="60% - Accent5" xfId="18" xr:uid="{00000000-0005-0000-0000-000011000000}"/>
    <cellStyle name="60% - Accent6" xfId="19" xr:uid="{00000000-0005-0000-0000-000012000000}"/>
    <cellStyle name="60% - Énfasis4 13" xfId="52" xr:uid="{00000000-0005-0000-0000-000013000000}"/>
    <cellStyle name="60% - Énfasis6 13" xfId="55" xr:uid="{00000000-0005-0000-0000-000014000000}"/>
    <cellStyle name="Accent1" xfId="20" xr:uid="{00000000-0005-0000-0000-000015000000}"/>
    <cellStyle name="Accent2" xfId="21" xr:uid="{00000000-0005-0000-0000-000016000000}"/>
    <cellStyle name="Accent3" xfId="22" xr:uid="{00000000-0005-0000-0000-000017000000}"/>
    <cellStyle name="Accent4" xfId="23" xr:uid="{00000000-0005-0000-0000-000018000000}"/>
    <cellStyle name="Accent5" xfId="24" xr:uid="{00000000-0005-0000-0000-000019000000}"/>
    <cellStyle name="Accent6" xfId="25" xr:uid="{00000000-0005-0000-0000-00001A000000}"/>
    <cellStyle name="Bad" xfId="26" xr:uid="{00000000-0005-0000-0000-00001B000000}"/>
    <cellStyle name="Calculation" xfId="27" xr:uid="{00000000-0005-0000-0000-00001C000000}"/>
    <cellStyle name="Check Cell" xfId="28" xr:uid="{00000000-0005-0000-0000-00001D000000}"/>
    <cellStyle name="Énfasis2 7" xfId="56" xr:uid="{00000000-0005-0000-0000-00001E000000}"/>
    <cellStyle name="Énfasis4 13" xfId="57" xr:uid="{00000000-0005-0000-0000-00001F000000}"/>
    <cellStyle name="Explanatory Text" xfId="29" xr:uid="{00000000-0005-0000-0000-000020000000}"/>
    <cellStyle name="Good" xfId="30" xr:uid="{00000000-0005-0000-0000-000021000000}"/>
    <cellStyle name="Heading 1" xfId="31" xr:uid="{00000000-0005-0000-0000-000022000000}"/>
    <cellStyle name="Heading 2" xfId="32" xr:uid="{00000000-0005-0000-0000-000023000000}"/>
    <cellStyle name="Heading 3" xfId="33" xr:uid="{00000000-0005-0000-0000-000024000000}"/>
    <cellStyle name="Heading 4" xfId="34" xr:uid="{00000000-0005-0000-0000-000025000000}"/>
    <cellStyle name="Input" xfId="35" xr:uid="{00000000-0005-0000-0000-000027000000}"/>
    <cellStyle name="Linked Cell" xfId="36" xr:uid="{00000000-0005-0000-0000-000028000000}"/>
    <cellStyle name="Millares 2" xfId="1" xr:uid="{00000000-0005-0000-0000-000029000000}"/>
    <cellStyle name="Millares 3" xfId="51" xr:uid="{00000000-0005-0000-0000-00002A000000}"/>
    <cellStyle name="Moneda 2" xfId="37" xr:uid="{00000000-0005-0000-0000-00002B000000}"/>
    <cellStyle name="Moneda 3" xfId="38" xr:uid="{00000000-0005-0000-0000-00002C000000}"/>
    <cellStyle name="Moneda 4" xfId="39" xr:uid="{00000000-0005-0000-0000-00002D000000}"/>
    <cellStyle name="Normal" xfId="0" builtinId="0"/>
    <cellStyle name="Normal 13" xfId="54" xr:uid="{00000000-0005-0000-0000-00002F000000}"/>
    <cellStyle name="Normal 2" xfId="40" xr:uid="{00000000-0005-0000-0000-000030000000}"/>
    <cellStyle name="Normal 2 2" xfId="41" xr:uid="{00000000-0005-0000-0000-000031000000}"/>
    <cellStyle name="Normal 3" xfId="42" xr:uid="{00000000-0005-0000-0000-000032000000}"/>
    <cellStyle name="Normal 4" xfId="43" xr:uid="{00000000-0005-0000-0000-000033000000}"/>
    <cellStyle name="Note" xfId="44" xr:uid="{00000000-0005-0000-0000-000034000000}"/>
    <cellStyle name="Output" xfId="45" xr:uid="{00000000-0005-0000-0000-000035000000}"/>
    <cellStyle name="Porcentual 2" xfId="46" xr:uid="{00000000-0005-0000-0000-000037000000}"/>
    <cellStyle name="Porcentual 3" xfId="47" xr:uid="{00000000-0005-0000-0000-000038000000}"/>
    <cellStyle name="Porcentual 4" xfId="48" xr:uid="{00000000-0005-0000-0000-000039000000}"/>
    <cellStyle name="Title" xfId="49" xr:uid="{00000000-0005-0000-0000-00003A000000}"/>
    <cellStyle name="Warning Text" xfId="50" xr:uid="{00000000-0005-0000-0000-00003B000000}"/>
  </cellStyles>
  <dxfs count="6">
    <dxf>
      <font>
        <color theme="1"/>
      </font>
      <fill>
        <patternFill patternType="solid">
          <bgColor rgb="FF4BAF4F"/>
        </patternFill>
      </fill>
    </dxf>
    <dxf>
      <fill>
        <patternFill patternType="solid">
          <bgColor rgb="FFFFC000"/>
        </patternFill>
      </fill>
    </dxf>
    <dxf>
      <font>
        <color theme="1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rgb="FFFF0000"/>
        </patternFill>
      </fill>
    </dxf>
    <dxf>
      <fill>
        <patternFill patternType="solid">
          <bgColor rgb="FFFFC000"/>
        </patternFill>
      </fill>
    </dxf>
    <dxf>
      <font>
        <color theme="1"/>
      </font>
      <fill>
        <patternFill patternType="solid">
          <bgColor rgb="FF4BAF4F"/>
        </patternFill>
      </fill>
    </dxf>
  </dxfs>
  <tableStyles count="0" defaultTableStyle="TableStyleMedium2" defaultPivotStyle="PivotStyleLight16"/>
  <colors>
    <mruColors>
      <color rgb="FFFFFF66"/>
      <color rgb="FF4BAF4F"/>
      <color rgb="FFCCFF66"/>
      <color rgb="FFFBB1AB"/>
      <color rgb="FFF44236"/>
      <color rgb="FF2095F2"/>
      <color rgb="FF000099"/>
      <color rgb="FFEEEEEE"/>
      <color rgb="FFEAB200"/>
      <color rgb="FF66B5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76200</xdr:rowOff>
    </xdr:from>
    <xdr:to>
      <xdr:col>4</xdr:col>
      <xdr:colOff>104498</xdr:colOff>
      <xdr:row>3</xdr:row>
      <xdr:rowOff>171367</xdr:rowOff>
    </xdr:to>
    <xdr:pic>
      <xdr:nvPicPr>
        <xdr:cNvPr id="4" name="3 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6200"/>
          <a:ext cx="2219048" cy="6666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247650</xdr:colOff>
      <xdr:row>8</xdr:row>
      <xdr:rowOff>180975</xdr:rowOff>
    </xdr:from>
    <xdr:to>
      <xdr:col>3</xdr:col>
      <xdr:colOff>142875</xdr:colOff>
      <xdr:row>9</xdr:row>
      <xdr:rowOff>133350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7B601D97-B7C0-9FB6-867D-0E1770136898}"/>
            </a:ext>
          </a:extLst>
        </xdr:cNvPr>
        <xdr:cNvSpPr/>
      </xdr:nvSpPr>
      <xdr:spPr>
        <a:xfrm>
          <a:off x="2686050" y="1362075"/>
          <a:ext cx="809625" cy="8667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3</xdr:col>
      <xdr:colOff>190500</xdr:colOff>
      <xdr:row>9</xdr:row>
      <xdr:rowOff>152400</xdr:rowOff>
    </xdr:from>
    <xdr:to>
      <xdr:col>4</xdr:col>
      <xdr:colOff>85725</xdr:colOff>
      <xdr:row>10</xdr:row>
      <xdr:rowOff>104775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4F3933C6-6B93-4AE3-8650-9CF510183590}"/>
            </a:ext>
            <a:ext uri="{147F2762-F138-4A5C-976F-8EAC2B608ADB}">
              <a16:predDERef xmlns:a16="http://schemas.microsoft.com/office/drawing/2014/main" pred="{7B601D97-B7C0-9FB6-867D-0E1770136898}"/>
            </a:ext>
          </a:extLst>
        </xdr:cNvPr>
        <xdr:cNvSpPr/>
      </xdr:nvSpPr>
      <xdr:spPr>
        <a:xfrm>
          <a:off x="3543300" y="2247900"/>
          <a:ext cx="809625" cy="866775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/>
        </a:p>
      </xdr:txBody>
    </xdr:sp>
    <xdr:clientData/>
  </xdr:twoCellAnchor>
  <xdr:twoCellAnchor>
    <xdr:from>
      <xdr:col>4</xdr:col>
      <xdr:colOff>180975</xdr:colOff>
      <xdr:row>10</xdr:row>
      <xdr:rowOff>133350</xdr:rowOff>
    </xdr:from>
    <xdr:to>
      <xdr:col>5</xdr:col>
      <xdr:colOff>76200</xdr:colOff>
      <xdr:row>11</xdr:row>
      <xdr:rowOff>85725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CBA1B795-C06A-49D1-8DB9-F9A092AD7E40}"/>
            </a:ext>
            <a:ext uri="{147F2762-F138-4A5C-976F-8EAC2B608ADB}">
              <a16:predDERef xmlns:a16="http://schemas.microsoft.com/office/drawing/2014/main" pred="{4F3933C6-6B93-4AE3-8650-9CF510183590}"/>
            </a:ext>
          </a:extLst>
        </xdr:cNvPr>
        <xdr:cNvSpPr/>
      </xdr:nvSpPr>
      <xdr:spPr>
        <a:xfrm>
          <a:off x="4448175" y="3143250"/>
          <a:ext cx="809625" cy="86677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/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</xdr:col>
      <xdr:colOff>687640</xdr:colOff>
      <xdr:row>3</xdr:row>
      <xdr:rowOff>95167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75D8C360-0043-40BE-BA91-B14FFAD06D0B}"/>
            </a:ext>
            <a:ext uri="{147F2762-F138-4A5C-976F-8EAC2B608ADB}">
              <a16:predDERef xmlns:a16="http://schemas.microsoft.com/office/drawing/2014/main" pred="{CBA1B795-C06A-49D1-8DB9-F9A092AD7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52600" y="0"/>
          <a:ext cx="2211640" cy="6666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2211640</xdr:colOff>
      <xdr:row>3</xdr:row>
      <xdr:rowOff>95167</xdr:rowOff>
    </xdr:to>
    <xdr:pic>
      <xdr:nvPicPr>
        <xdr:cNvPr id="4" name="3 Imagen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0"/>
          <a:ext cx="2211640" cy="66666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581025</xdr:colOff>
      <xdr:row>0</xdr:row>
      <xdr:rowOff>0</xdr:rowOff>
    </xdr:from>
    <xdr:to>
      <xdr:col>2</xdr:col>
      <xdr:colOff>687640</xdr:colOff>
      <xdr:row>3</xdr:row>
      <xdr:rowOff>95167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E1959F5-C219-408C-97D1-F4FD3DDE1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1025" y="0"/>
          <a:ext cx="2211640" cy="6666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581025</xdr:colOff>
      <xdr:row>0</xdr:row>
      <xdr:rowOff>133350</xdr:rowOff>
    </xdr:from>
    <xdr:to>
      <xdr:col>2</xdr:col>
      <xdr:colOff>497140</xdr:colOff>
      <xdr:row>4</xdr:row>
      <xdr:rowOff>38017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CDCB9BF-09F2-42BC-B80A-000F55B7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1025" y="133350"/>
          <a:ext cx="2211640" cy="6666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0</xdr:row>
      <xdr:rowOff>0</xdr:rowOff>
    </xdr:from>
    <xdr:to>
      <xdr:col>2</xdr:col>
      <xdr:colOff>687640</xdr:colOff>
      <xdr:row>3</xdr:row>
      <xdr:rowOff>95167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CC24E8C-56AF-4C28-BFD4-0A20970CC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0"/>
          <a:ext cx="2211640" cy="66666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2</xdr:col>
      <xdr:colOff>1049590</xdr:colOff>
      <xdr:row>4</xdr:row>
      <xdr:rowOff>95167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E05E505-2511-4069-86B7-FB3907331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90500"/>
          <a:ext cx="2211640" cy="66666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0</xdr:row>
      <xdr:rowOff>0</xdr:rowOff>
    </xdr:from>
    <xdr:to>
      <xdr:col>2</xdr:col>
      <xdr:colOff>1182940</xdr:colOff>
      <xdr:row>3</xdr:row>
      <xdr:rowOff>95167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24F9423-4360-4CD2-82D9-3304460B39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0"/>
          <a:ext cx="2211640" cy="66666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Viviana_Zuluaga\COMFAMA\Gestion%20de%20Calidad\documentos%20de%20gestion\PLANTLLAS%20COMFAMA\Gestion%20Proyectos%20Agiles%20v2.4%20-%20Ita&#25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Viviana_Zuluaga/COMFAMA/Gestion%20de%20Calidad/documentos%20de%20gestion/PLANTLLAS%20COMFAMA/Panorama%20de%20proyectos/Copia%2028%20Abril%20Panorama%20de%20proyectos%20Comfama-V2.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esarrollo%20corporativo\Proyectos\En%20proceso\IDi\Nuevas%20Plantillas\01%20Excel\Magaly\SRP_2015-00331%20Informe%20de%20Avance%20Diario%20IBK%20Cuota%20Flexible%2013-09-2016_V2%201%202%202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tillas%20de%20informe%20de%20avance/Cronograma%20x%20Avance%20v4.14%20-%20BBV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etros"/>
      <sheetName val="ParametrosCampos"/>
      <sheetName val="Instructivo"/>
      <sheetName val="Resumen"/>
      <sheetName val="ProductBacklog"/>
      <sheetName val="Sprint"/>
      <sheetName val="Sprint 1"/>
      <sheetName val="Sprint 2"/>
      <sheetName val="Sprint 3"/>
      <sheetName val="Sprint 4"/>
      <sheetName val="Sprint 5"/>
      <sheetName val="Sprint 6"/>
      <sheetName val="Sprint 7"/>
      <sheetName val="Sprint 8"/>
      <sheetName val="Sprint 9"/>
      <sheetName val="Sprint 10"/>
      <sheetName val="Sprint 11"/>
      <sheetName val="Sprint 12"/>
      <sheetName val="Impedimentos"/>
      <sheetName val="CasosDePrueba"/>
      <sheetName val="BugTracker"/>
      <sheetName val="Listas"/>
      <sheetName val="ListasEditables"/>
      <sheetName val="AuxiliarIm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aficas Panorama"/>
      <sheetName val="Graficas Desfase"/>
      <sheetName val="Panorama"/>
      <sheetName val="HcoDesfases"/>
      <sheetName val="Listas"/>
      <sheetName val="1TP"/>
      <sheetName val="2THD"/>
      <sheetName val="3TD"/>
      <sheetName val="4T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onograma Simplificado"/>
      <sheetName val="Parametros"/>
      <sheetName val="Guia"/>
      <sheetName val="ResumenCronograma"/>
      <sheetName val="Cronograma"/>
      <sheetName val="AuxiliarFechas"/>
      <sheetName val="Desfases"/>
      <sheetName val="AuxiliarDesfases"/>
      <sheetName val="List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etros"/>
      <sheetName val="ParametrosCampos"/>
      <sheetName val="Instructivo"/>
      <sheetName val="ResumenCronograma"/>
      <sheetName val="Cronograma"/>
      <sheetName val="Desfases"/>
      <sheetName val="CasosDePrueba"/>
      <sheetName val="BugTracker"/>
      <sheetName val="ListasEditables"/>
      <sheetName val="Listas"/>
      <sheetName val="AuxiliarDesfas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C00000"/>
  </sheetPr>
  <dimension ref="B6:AO24"/>
  <sheetViews>
    <sheetView showGridLines="0" tabSelected="1" zoomScale="85" zoomScaleNormal="85" zoomScaleSheetLayoutView="115" workbookViewId="0">
      <selection activeCell="E22" sqref="E22:E24"/>
    </sheetView>
  </sheetViews>
  <sheetFormatPr defaultColWidth="11.42578125" defaultRowHeight="15"/>
  <cols>
    <col min="1" max="1" width="4" customWidth="1"/>
    <col min="2" max="3" width="2.7109375" customWidth="1"/>
    <col min="4" max="4" width="26.28515625" customWidth="1"/>
    <col min="5" max="5" width="28" customWidth="1"/>
    <col min="6" max="45" width="2.7109375" customWidth="1"/>
  </cols>
  <sheetData>
    <row r="6" spans="2:41">
      <c r="B6" s="135" t="s">
        <v>0</v>
      </c>
      <c r="C6" s="135"/>
      <c r="D6" s="135"/>
      <c r="E6" s="135"/>
    </row>
    <row r="8" spans="2:41">
      <c r="B8" s="92" t="s">
        <v>1</v>
      </c>
      <c r="C8" s="92"/>
      <c r="D8" s="93"/>
      <c r="E8" s="94"/>
      <c r="F8" s="136" t="s">
        <v>2</v>
      </c>
      <c r="G8" s="136"/>
      <c r="H8" s="136"/>
      <c r="I8" s="136"/>
      <c r="J8" s="136"/>
      <c r="K8" s="136"/>
      <c r="L8" s="136"/>
      <c r="M8" s="136"/>
      <c r="N8" s="136"/>
      <c r="O8" s="136"/>
      <c r="P8" s="136"/>
      <c r="Q8" s="136"/>
      <c r="R8" s="136"/>
      <c r="S8" s="136"/>
      <c r="T8" s="136"/>
      <c r="U8" s="136"/>
      <c r="V8" s="136"/>
      <c r="W8" s="136"/>
      <c r="X8" s="136"/>
      <c r="Y8" s="136"/>
      <c r="Z8" s="136"/>
      <c r="AA8" s="136"/>
      <c r="AB8" s="136"/>
      <c r="AC8" s="136"/>
      <c r="AD8" s="136"/>
      <c r="AE8" s="136"/>
      <c r="AF8" s="136"/>
      <c r="AG8" s="136"/>
      <c r="AH8" s="136"/>
      <c r="AI8" s="136"/>
      <c r="AJ8" s="136"/>
      <c r="AK8" s="136"/>
      <c r="AL8" s="136"/>
      <c r="AM8" s="136"/>
      <c r="AN8" s="136"/>
      <c r="AO8" s="136"/>
    </row>
    <row r="9" spans="2:41">
      <c r="B9" s="92" t="s">
        <v>3</v>
      </c>
      <c r="C9" s="92"/>
      <c r="D9" s="93"/>
      <c r="E9" s="94"/>
      <c r="F9" s="136" t="s">
        <v>4</v>
      </c>
      <c r="G9" s="136"/>
      <c r="H9" s="136"/>
      <c r="I9" s="136"/>
      <c r="J9" s="136"/>
      <c r="K9" s="136"/>
      <c r="L9" s="136"/>
      <c r="M9" s="136"/>
      <c r="N9" s="136"/>
      <c r="O9" s="136"/>
      <c r="P9" s="136"/>
      <c r="Q9" s="136"/>
      <c r="R9" s="136"/>
      <c r="S9" s="136"/>
      <c r="T9" s="136"/>
      <c r="U9" s="136"/>
      <c r="V9" s="136"/>
      <c r="W9" s="136"/>
      <c r="X9" s="136"/>
      <c r="Y9" s="136"/>
      <c r="Z9" s="136"/>
      <c r="AA9" s="136"/>
      <c r="AB9" s="136"/>
      <c r="AC9" s="136"/>
      <c r="AD9" s="136"/>
      <c r="AE9" s="136"/>
      <c r="AF9" s="136"/>
      <c r="AG9" s="136"/>
      <c r="AH9" s="136"/>
      <c r="AI9" s="136"/>
      <c r="AJ9" s="136"/>
      <c r="AK9" s="136"/>
      <c r="AL9" s="136"/>
      <c r="AM9" s="136"/>
      <c r="AN9" s="136"/>
      <c r="AO9" s="136"/>
    </row>
    <row r="10" spans="2:41" ht="31.5" customHeight="1">
      <c r="B10" s="123" t="s">
        <v>5</v>
      </c>
      <c r="C10" s="124"/>
      <c r="D10" s="124"/>
      <c r="E10" s="125"/>
      <c r="F10" s="136" t="s">
        <v>6</v>
      </c>
      <c r="G10" s="136"/>
      <c r="H10" s="136"/>
      <c r="I10" s="136"/>
      <c r="J10" s="136"/>
      <c r="K10" s="136"/>
      <c r="L10" s="136"/>
      <c r="M10" s="136"/>
      <c r="N10" s="136"/>
      <c r="O10" s="136"/>
      <c r="P10" s="136"/>
      <c r="Q10" s="136"/>
      <c r="R10" s="136"/>
      <c r="S10" s="136"/>
      <c r="T10" s="136"/>
      <c r="U10" s="136"/>
      <c r="V10" s="136"/>
      <c r="W10" s="136"/>
      <c r="X10" s="136"/>
      <c r="Y10" s="136"/>
      <c r="Z10" s="136"/>
      <c r="AA10" s="136"/>
      <c r="AB10" s="136"/>
      <c r="AC10" s="136"/>
      <c r="AD10" s="136"/>
      <c r="AE10" s="136"/>
      <c r="AF10" s="136"/>
      <c r="AG10" s="136"/>
      <c r="AH10" s="136"/>
      <c r="AI10" s="136"/>
      <c r="AJ10" s="136"/>
      <c r="AK10" s="136"/>
      <c r="AL10" s="136"/>
      <c r="AM10" s="136"/>
      <c r="AN10" s="136"/>
      <c r="AO10" s="136"/>
    </row>
    <row r="11" spans="2:41">
      <c r="B11" s="92" t="s">
        <v>7</v>
      </c>
      <c r="C11" s="92"/>
      <c r="D11" s="93"/>
      <c r="E11" s="94"/>
      <c r="F11" s="136" t="s">
        <v>8</v>
      </c>
      <c r="G11" s="136"/>
      <c r="H11" s="136"/>
      <c r="I11" s="136"/>
      <c r="J11" s="136"/>
      <c r="K11" s="136"/>
      <c r="L11" s="136"/>
      <c r="M11" s="136"/>
      <c r="N11" s="136"/>
      <c r="O11" s="136"/>
      <c r="P11" s="136"/>
      <c r="Q11" s="136"/>
      <c r="R11" s="136"/>
      <c r="S11" s="136"/>
      <c r="T11" s="136"/>
      <c r="U11" s="136"/>
      <c r="V11" s="136"/>
      <c r="W11" s="136"/>
      <c r="X11" s="136"/>
      <c r="Y11" s="136"/>
      <c r="Z11" s="136"/>
      <c r="AA11" s="136"/>
      <c r="AB11" s="136"/>
      <c r="AC11" s="136"/>
      <c r="AD11" s="136"/>
      <c r="AE11" s="136"/>
      <c r="AF11" s="136"/>
      <c r="AG11" s="136"/>
      <c r="AH11" s="136"/>
      <c r="AI11" s="136"/>
      <c r="AJ11" s="136"/>
      <c r="AK11" s="136"/>
      <c r="AL11" s="136"/>
      <c r="AM11" s="136"/>
      <c r="AN11" s="136"/>
      <c r="AO11" s="136"/>
    </row>
    <row r="12" spans="2:41">
      <c r="B12" s="123" t="s">
        <v>9</v>
      </c>
      <c r="C12" s="124"/>
      <c r="D12" s="124"/>
      <c r="E12" s="125"/>
      <c r="F12" s="136" t="s">
        <v>10</v>
      </c>
      <c r="G12" s="136"/>
      <c r="H12" s="136"/>
      <c r="I12" s="136"/>
      <c r="J12" s="136"/>
      <c r="K12" s="136"/>
      <c r="L12" s="136"/>
      <c r="M12" s="136"/>
      <c r="N12" s="136"/>
      <c r="O12" s="136"/>
      <c r="P12" s="136"/>
      <c r="Q12" s="136"/>
      <c r="R12" s="136"/>
      <c r="S12" s="136"/>
      <c r="T12" s="136"/>
      <c r="U12" s="136"/>
      <c r="V12" s="136"/>
      <c r="W12" s="136"/>
      <c r="X12" s="136"/>
      <c r="Y12" s="136"/>
      <c r="Z12" s="136"/>
      <c r="AA12" s="136"/>
      <c r="AB12" s="136"/>
      <c r="AC12" s="136"/>
      <c r="AD12" s="136"/>
      <c r="AE12" s="136"/>
      <c r="AF12" s="136"/>
      <c r="AG12" s="136"/>
      <c r="AH12" s="136"/>
      <c r="AI12" s="136"/>
      <c r="AJ12" s="136"/>
      <c r="AK12" s="136"/>
      <c r="AL12" s="136"/>
      <c r="AM12" s="136"/>
      <c r="AN12" s="136"/>
      <c r="AO12" s="136"/>
    </row>
    <row r="13" spans="2:41" ht="24.75" customHeight="1">
      <c r="B13" s="126" t="s">
        <v>11</v>
      </c>
      <c r="C13" s="127"/>
      <c r="D13" s="127"/>
      <c r="E13" s="128"/>
      <c r="F13" s="136" t="s">
        <v>12</v>
      </c>
      <c r="G13" s="136"/>
      <c r="H13" s="136"/>
      <c r="I13" s="136"/>
      <c r="J13" s="136"/>
      <c r="K13" s="136"/>
      <c r="L13" s="136"/>
      <c r="M13" s="136"/>
      <c r="N13" s="136"/>
      <c r="O13" s="136"/>
      <c r="P13" s="136"/>
      <c r="Q13" s="136"/>
      <c r="R13" s="136"/>
      <c r="S13" s="136"/>
      <c r="T13" s="136"/>
      <c r="U13" s="136"/>
      <c r="V13" s="136"/>
      <c r="W13" s="136"/>
      <c r="X13" s="136"/>
      <c r="Y13" s="136"/>
      <c r="Z13" s="136"/>
      <c r="AA13" s="136"/>
      <c r="AB13" s="136"/>
      <c r="AC13" s="136"/>
      <c r="AD13" s="136"/>
      <c r="AE13" s="136"/>
      <c r="AF13" s="136"/>
      <c r="AG13" s="136"/>
      <c r="AH13" s="136"/>
      <c r="AI13" s="136"/>
      <c r="AJ13" s="136"/>
      <c r="AK13" s="136"/>
      <c r="AL13" s="136"/>
      <c r="AM13" s="136"/>
      <c r="AN13" s="136"/>
      <c r="AO13" s="136"/>
    </row>
    <row r="14" spans="2:41" ht="24.75" customHeight="1">
      <c r="B14" s="129"/>
      <c r="C14" s="130"/>
      <c r="D14" s="130"/>
      <c r="E14" s="131"/>
      <c r="F14" s="136" t="s">
        <v>13</v>
      </c>
      <c r="G14" s="136"/>
      <c r="H14" s="136"/>
      <c r="I14" s="136"/>
      <c r="J14" s="136"/>
      <c r="K14" s="136"/>
      <c r="L14" s="136"/>
      <c r="M14" s="136"/>
      <c r="N14" s="136"/>
      <c r="O14" s="136"/>
      <c r="P14" s="136"/>
      <c r="Q14" s="136"/>
      <c r="R14" s="136"/>
      <c r="S14" s="136"/>
      <c r="T14" s="136"/>
      <c r="U14" s="136"/>
      <c r="V14" s="136"/>
      <c r="W14" s="136"/>
      <c r="X14" s="136"/>
      <c r="Y14" s="136"/>
      <c r="Z14" s="136"/>
      <c r="AA14" s="136"/>
      <c r="AB14" s="136"/>
      <c r="AC14" s="136"/>
      <c r="AD14" s="136"/>
      <c r="AE14" s="136"/>
      <c r="AF14" s="136"/>
      <c r="AG14" s="136"/>
      <c r="AH14" s="136"/>
      <c r="AI14" s="136"/>
      <c r="AJ14" s="136"/>
      <c r="AK14" s="136"/>
      <c r="AL14" s="136"/>
      <c r="AM14" s="136"/>
      <c r="AN14" s="136"/>
      <c r="AO14" s="136"/>
    </row>
    <row r="15" spans="2:41" ht="24.75" customHeight="1">
      <c r="B15" s="132"/>
      <c r="C15" s="133"/>
      <c r="D15" s="133"/>
      <c r="E15" s="134"/>
      <c r="F15" s="136" t="s">
        <v>14</v>
      </c>
      <c r="G15" s="136"/>
      <c r="H15" s="136"/>
      <c r="I15" s="136"/>
      <c r="J15" s="136"/>
      <c r="K15" s="136"/>
      <c r="L15" s="136"/>
      <c r="M15" s="136"/>
      <c r="N15" s="136"/>
      <c r="O15" s="136"/>
      <c r="P15" s="136"/>
      <c r="Q15" s="136"/>
      <c r="R15" s="136"/>
      <c r="S15" s="136"/>
      <c r="T15" s="136"/>
      <c r="U15" s="136"/>
      <c r="V15" s="136"/>
      <c r="W15" s="136"/>
      <c r="X15" s="136"/>
      <c r="Y15" s="136"/>
      <c r="Z15" s="136"/>
      <c r="AA15" s="136"/>
      <c r="AB15" s="136"/>
      <c r="AC15" s="136"/>
      <c r="AD15" s="136"/>
      <c r="AE15" s="136"/>
      <c r="AF15" s="136"/>
      <c r="AG15" s="136"/>
      <c r="AH15" s="136"/>
      <c r="AI15" s="136"/>
      <c r="AJ15" s="136"/>
      <c r="AK15" s="136"/>
      <c r="AL15" s="136"/>
      <c r="AM15" s="136"/>
      <c r="AN15" s="136"/>
      <c r="AO15" s="136"/>
    </row>
    <row r="16" spans="2:41">
      <c r="B16" s="123" t="s">
        <v>15</v>
      </c>
      <c r="C16" s="124"/>
      <c r="D16" s="124"/>
      <c r="E16" s="125"/>
      <c r="F16" s="137">
        <v>44907</v>
      </c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37"/>
      <c r="R16" s="137"/>
      <c r="S16" s="137"/>
      <c r="T16" s="137"/>
      <c r="U16" s="137"/>
      <c r="V16" s="137"/>
      <c r="W16" s="137"/>
      <c r="X16" s="137"/>
      <c r="Y16" s="137"/>
      <c r="Z16" s="137"/>
      <c r="AA16" s="137"/>
      <c r="AB16" s="137"/>
      <c r="AC16" s="137"/>
      <c r="AD16" s="137"/>
      <c r="AE16" s="137"/>
      <c r="AF16" s="137"/>
      <c r="AG16" s="137"/>
      <c r="AH16" s="137"/>
      <c r="AI16" s="137"/>
      <c r="AJ16" s="137"/>
      <c r="AK16" s="137"/>
      <c r="AL16" s="137"/>
      <c r="AM16" s="137"/>
      <c r="AN16" s="137"/>
      <c r="AO16" s="137"/>
    </row>
    <row r="17" spans="2:41">
      <c r="B17" s="123" t="s">
        <v>16</v>
      </c>
      <c r="C17" s="124"/>
      <c r="D17" s="124"/>
      <c r="E17" s="125"/>
      <c r="F17" s="137">
        <v>44925</v>
      </c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  <c r="S17" s="137"/>
      <c r="T17" s="137"/>
      <c r="U17" s="137"/>
      <c r="V17" s="137"/>
      <c r="W17" s="137"/>
      <c r="X17" s="137"/>
      <c r="Y17" s="137"/>
      <c r="Z17" s="137"/>
      <c r="AA17" s="137"/>
      <c r="AB17" s="137"/>
      <c r="AC17" s="137"/>
      <c r="AD17" s="137"/>
      <c r="AE17" s="137"/>
      <c r="AF17" s="137"/>
      <c r="AG17" s="137"/>
      <c r="AH17" s="137"/>
      <c r="AI17" s="137"/>
      <c r="AJ17" s="137"/>
      <c r="AK17" s="137"/>
      <c r="AL17" s="137"/>
      <c r="AM17" s="137"/>
      <c r="AN17" s="137"/>
      <c r="AO17" s="137"/>
    </row>
    <row r="18" spans="2:41">
      <c r="B18" s="123" t="s">
        <v>17</v>
      </c>
      <c r="C18" s="124"/>
      <c r="D18" s="124"/>
      <c r="E18" s="125"/>
      <c r="F18" s="136">
        <v>9</v>
      </c>
      <c r="G18" s="136"/>
      <c r="H18" s="136"/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136"/>
      <c r="T18" s="136"/>
      <c r="U18" s="136"/>
      <c r="V18" s="136"/>
      <c r="W18" s="136"/>
      <c r="X18" s="136"/>
      <c r="Y18" s="136"/>
      <c r="Z18" s="136"/>
      <c r="AA18" s="136"/>
      <c r="AB18" s="136"/>
      <c r="AC18" s="136"/>
      <c r="AD18" s="136"/>
      <c r="AE18" s="136"/>
      <c r="AF18" s="136"/>
      <c r="AG18" s="136"/>
      <c r="AH18" s="136"/>
      <c r="AI18" s="136"/>
      <c r="AJ18" s="136"/>
      <c r="AK18" s="136"/>
      <c r="AL18" s="136"/>
      <c r="AM18" s="136"/>
      <c r="AN18" s="136"/>
      <c r="AO18" s="136"/>
    </row>
    <row r="19" spans="2:41">
      <c r="B19" s="123" t="s">
        <v>18</v>
      </c>
      <c r="C19" s="124"/>
      <c r="D19" s="124"/>
      <c r="E19" s="125"/>
      <c r="F19" s="136">
        <v>3</v>
      </c>
      <c r="G19" s="136"/>
      <c r="H19" s="136"/>
      <c r="I19" s="136"/>
      <c r="J19" s="136"/>
      <c r="K19" s="136"/>
      <c r="L19" s="136"/>
      <c r="M19" s="136"/>
      <c r="N19" s="136"/>
      <c r="O19" s="136"/>
      <c r="P19" s="136"/>
      <c r="Q19" s="136"/>
      <c r="R19" s="136"/>
      <c r="S19" s="136"/>
      <c r="T19" s="136"/>
      <c r="U19" s="136"/>
      <c r="V19" s="136"/>
      <c r="W19" s="136"/>
      <c r="X19" s="136"/>
      <c r="Y19" s="136"/>
      <c r="Z19" s="136"/>
      <c r="AA19" s="136"/>
      <c r="AB19" s="136"/>
      <c r="AC19" s="136"/>
      <c r="AD19" s="136"/>
      <c r="AE19" s="136"/>
      <c r="AF19" s="136"/>
      <c r="AG19" s="136"/>
      <c r="AH19" s="136"/>
      <c r="AI19" s="136"/>
      <c r="AJ19" s="136"/>
      <c r="AK19" s="136"/>
      <c r="AL19" s="136"/>
      <c r="AM19" s="136"/>
      <c r="AN19" s="136"/>
      <c r="AO19" s="136"/>
    </row>
    <row r="21" spans="2:41">
      <c r="D21" s="122" t="s">
        <v>19</v>
      </c>
      <c r="E21" s="122"/>
    </row>
    <row r="22" spans="2:41" ht="31.5" customHeight="1">
      <c r="D22" s="91" t="s">
        <v>20</v>
      </c>
      <c r="E22" s="119" t="s">
        <v>21</v>
      </c>
    </row>
    <row r="23" spans="2:41" ht="30.75" customHeight="1">
      <c r="D23" s="91" t="s">
        <v>13</v>
      </c>
      <c r="E23" s="120"/>
    </row>
    <row r="24" spans="2:41" ht="29.25" customHeight="1">
      <c r="D24" s="91" t="s">
        <v>14</v>
      </c>
      <c r="E24" s="121"/>
    </row>
  </sheetData>
  <mergeCells count="22">
    <mergeCell ref="B6:E6"/>
    <mergeCell ref="F18:AO18"/>
    <mergeCell ref="F19:AO19"/>
    <mergeCell ref="F10:AO10"/>
    <mergeCell ref="F8:AO8"/>
    <mergeCell ref="F9:AO9"/>
    <mergeCell ref="F11:AO11"/>
    <mergeCell ref="F12:AO12"/>
    <mergeCell ref="F13:AO13"/>
    <mergeCell ref="F16:AO16"/>
    <mergeCell ref="F17:AO17"/>
    <mergeCell ref="F15:AO15"/>
    <mergeCell ref="F14:AO14"/>
    <mergeCell ref="E22:E24"/>
    <mergeCell ref="D21:E21"/>
    <mergeCell ref="B10:E10"/>
    <mergeCell ref="B12:E12"/>
    <mergeCell ref="B13:E15"/>
    <mergeCell ref="B16:E16"/>
    <mergeCell ref="B17:E17"/>
    <mergeCell ref="B18:E18"/>
    <mergeCell ref="B19:E19"/>
  </mergeCells>
  <pageMargins left="0.7" right="0.7" top="0.75" bottom="0.75" header="0.3" footer="0.3"/>
  <pageSetup scale="6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A3AA8-15DE-4C22-B474-810CF471FA6D}">
  <sheetPr>
    <tabColor theme="7" tint="-0.249977111117893"/>
  </sheetPr>
  <dimension ref="B6:H16"/>
  <sheetViews>
    <sheetView showGridLines="0" workbookViewId="0">
      <selection activeCell="H14" sqref="H14:H16"/>
    </sheetView>
  </sheetViews>
  <sheetFormatPr defaultRowHeight="15"/>
  <cols>
    <col min="3" max="5" width="13.7109375" customWidth="1"/>
    <col min="7" max="7" width="24.140625" customWidth="1"/>
    <col min="8" max="8" width="42.7109375" customWidth="1"/>
  </cols>
  <sheetData>
    <row r="6" spans="2:8">
      <c r="B6" s="138" t="s">
        <v>22</v>
      </c>
      <c r="C6" s="138"/>
      <c r="D6" s="138"/>
      <c r="E6" s="138"/>
      <c r="F6" s="13"/>
    </row>
    <row r="7" spans="2:8">
      <c r="B7" s="138"/>
      <c r="C7" s="138"/>
      <c r="D7" s="138"/>
      <c r="E7" s="138"/>
      <c r="F7" s="13"/>
    </row>
    <row r="8" spans="2:8" ht="48" customHeight="1">
      <c r="B8" s="23"/>
      <c r="C8" s="24" t="s">
        <v>23</v>
      </c>
      <c r="D8" s="24" t="s">
        <v>24</v>
      </c>
      <c r="E8" s="24" t="s">
        <v>25</v>
      </c>
      <c r="F8" s="13"/>
      <c r="G8" s="13"/>
      <c r="H8" s="13"/>
    </row>
    <row r="9" spans="2:8" ht="72" customHeight="1">
      <c r="B9" s="25" t="s">
        <v>26</v>
      </c>
      <c r="C9" s="14"/>
      <c r="D9" s="14"/>
      <c r="E9" s="14"/>
      <c r="F9" s="13"/>
      <c r="G9" s="13"/>
      <c r="H9" s="13"/>
    </row>
    <row r="10" spans="2:8" ht="72" customHeight="1">
      <c r="B10" s="25" t="s">
        <v>27</v>
      </c>
      <c r="C10" s="14"/>
      <c r="D10" s="14"/>
      <c r="E10" s="14"/>
      <c r="F10" s="13"/>
      <c r="G10" s="13"/>
      <c r="H10" s="13"/>
    </row>
    <row r="11" spans="2:8" ht="72" customHeight="1">
      <c r="B11" s="25" t="s">
        <v>28</v>
      </c>
      <c r="C11" s="14"/>
      <c r="D11" s="14"/>
      <c r="E11" s="14"/>
      <c r="F11" s="13"/>
      <c r="G11" s="13"/>
      <c r="H11" s="13"/>
    </row>
    <row r="12" spans="2:8">
      <c r="B12" s="13"/>
      <c r="C12" s="13"/>
      <c r="D12" s="13"/>
      <c r="E12" s="13"/>
      <c r="F12" s="13"/>
      <c r="G12" s="13"/>
      <c r="H12" s="13"/>
    </row>
    <row r="13" spans="2:8">
      <c r="G13" s="122" t="s">
        <v>19</v>
      </c>
      <c r="H13" s="122"/>
    </row>
    <row r="14" spans="2:8" ht="23.25" customHeight="1">
      <c r="G14" s="91" t="s">
        <v>20</v>
      </c>
      <c r="H14" s="139" t="s">
        <v>29</v>
      </c>
    </row>
    <row r="15" spans="2:8" ht="23.25" customHeight="1">
      <c r="G15" s="91" t="s">
        <v>13</v>
      </c>
      <c r="H15" s="140"/>
    </row>
    <row r="16" spans="2:8" ht="23.25" customHeight="1">
      <c r="G16" s="91" t="s">
        <v>14</v>
      </c>
      <c r="H16" s="141"/>
    </row>
  </sheetData>
  <mergeCells count="3">
    <mergeCell ref="B6:E7"/>
    <mergeCell ref="G13:H13"/>
    <mergeCell ref="H14:H16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7" tint="-0.249977111117893"/>
  </sheetPr>
  <dimension ref="B6:G31"/>
  <sheetViews>
    <sheetView showGridLines="0" zoomScale="80" zoomScaleNormal="80" workbookViewId="0">
      <selection activeCell="E33" sqref="E33"/>
    </sheetView>
  </sheetViews>
  <sheetFormatPr defaultColWidth="11.42578125" defaultRowHeight="15"/>
  <cols>
    <col min="1" max="1" width="2.7109375" customWidth="1"/>
    <col min="2" max="2" width="33.85546875" customWidth="1"/>
    <col min="3" max="3" width="41.28515625" customWidth="1"/>
    <col min="4" max="4" width="21.7109375" customWidth="1"/>
    <col min="5" max="5" width="19.28515625" customWidth="1"/>
    <col min="6" max="6" width="20.7109375" customWidth="1"/>
    <col min="7" max="7" width="47.7109375" customWidth="1"/>
    <col min="8" max="8" width="14.5703125" customWidth="1"/>
    <col min="9" max="9" width="45.5703125" customWidth="1"/>
  </cols>
  <sheetData>
    <row r="6" spans="2:7" ht="30" customHeight="1">
      <c r="B6" s="15" t="s">
        <v>30</v>
      </c>
      <c r="C6" s="142" t="s">
        <v>31</v>
      </c>
      <c r="D6" s="143"/>
      <c r="E6" s="143"/>
      <c r="F6" s="143"/>
      <c r="G6" s="144"/>
    </row>
    <row r="7" spans="2:7" ht="24" customHeight="1">
      <c r="B7" s="16" t="s">
        <v>32</v>
      </c>
      <c r="C7" s="142" t="s">
        <v>33</v>
      </c>
      <c r="D7" s="143"/>
      <c r="E7" s="143"/>
      <c r="F7" s="143"/>
      <c r="G7" s="144"/>
    </row>
    <row r="9" spans="2:7">
      <c r="B9" s="149" t="s">
        <v>34</v>
      </c>
      <c r="C9" s="149"/>
      <c r="D9" s="149"/>
      <c r="E9" s="149"/>
      <c r="F9" s="149"/>
      <c r="G9" s="149"/>
    </row>
    <row r="11" spans="2:7">
      <c r="B11" s="146" t="s">
        <v>35</v>
      </c>
      <c r="C11" s="147"/>
      <c r="D11" s="147"/>
      <c r="E11" s="147"/>
      <c r="F11" s="147"/>
      <c r="G11" s="148"/>
    </row>
    <row r="12" spans="2:7" ht="23.25" customHeight="1">
      <c r="B12" s="2" t="s">
        <v>36</v>
      </c>
      <c r="C12" s="2" t="s">
        <v>37</v>
      </c>
      <c r="D12" s="2" t="s">
        <v>30</v>
      </c>
      <c r="E12" s="2" t="s">
        <v>32</v>
      </c>
      <c r="F12" s="3" t="s">
        <v>36</v>
      </c>
      <c r="G12" s="2" t="s">
        <v>38</v>
      </c>
    </row>
    <row r="13" spans="2:7" ht="36">
      <c r="B13" s="7" t="s">
        <v>39</v>
      </c>
      <c r="C13" s="8" t="s">
        <v>40</v>
      </c>
      <c r="D13" s="4">
        <v>3</v>
      </c>
      <c r="E13" s="4">
        <v>1</v>
      </c>
      <c r="F13" s="11">
        <f>IF(D13*E13&gt;0,D13*E13," ")</f>
        <v>3</v>
      </c>
      <c r="G13" s="10" t="s">
        <v>41</v>
      </c>
    </row>
    <row r="14" spans="2:7" ht="24">
      <c r="B14" s="7" t="s">
        <v>42</v>
      </c>
      <c r="C14" s="8" t="s">
        <v>43</v>
      </c>
      <c r="D14" s="4">
        <v>3</v>
      </c>
      <c r="E14" s="4">
        <v>1</v>
      </c>
      <c r="F14" s="11">
        <f t="shared" ref="F14:F16" si="0">IF(D14*E14&gt;0,D14*E14," ")</f>
        <v>3</v>
      </c>
      <c r="G14" s="10" t="s">
        <v>44</v>
      </c>
    </row>
    <row r="15" spans="2:7" ht="36">
      <c r="B15" s="7" t="s">
        <v>45</v>
      </c>
      <c r="C15" s="8" t="s">
        <v>46</v>
      </c>
      <c r="D15" s="4">
        <v>3</v>
      </c>
      <c r="E15" s="4">
        <v>2</v>
      </c>
      <c r="F15" s="11">
        <f>IF(D15*E15&gt;0,D15*E15," ")</f>
        <v>6</v>
      </c>
      <c r="G15" s="4" t="s">
        <v>47</v>
      </c>
    </row>
    <row r="16" spans="2:7" ht="36">
      <c r="B16" s="7" t="s">
        <v>48</v>
      </c>
      <c r="C16" s="8" t="s">
        <v>49</v>
      </c>
      <c r="D16" s="4">
        <v>2</v>
      </c>
      <c r="E16" s="4">
        <v>1</v>
      </c>
      <c r="F16" s="11">
        <f t="shared" si="0"/>
        <v>2</v>
      </c>
      <c r="G16" s="10" t="s">
        <v>50</v>
      </c>
    </row>
    <row r="17" spans="2:7">
      <c r="B17" s="1"/>
      <c r="C17" s="1"/>
      <c r="E17" s="5" t="s">
        <v>51</v>
      </c>
      <c r="F17" s="6">
        <f>IFERROR(AVERAGE(F13:F16),"")</f>
        <v>3.5</v>
      </c>
    </row>
    <row r="19" spans="2:7">
      <c r="B19" s="146" t="s">
        <v>52</v>
      </c>
      <c r="C19" s="147"/>
      <c r="D19" s="147"/>
      <c r="E19" s="147"/>
      <c r="F19" s="147"/>
      <c r="G19" s="148"/>
    </row>
    <row r="20" spans="2:7">
      <c r="B20" s="2" t="s">
        <v>36</v>
      </c>
      <c r="C20" s="2" t="s">
        <v>37</v>
      </c>
      <c r="D20" s="2" t="s">
        <v>30</v>
      </c>
      <c r="E20" s="2" t="s">
        <v>53</v>
      </c>
      <c r="F20" s="3" t="s">
        <v>36</v>
      </c>
      <c r="G20" s="2" t="s">
        <v>38</v>
      </c>
    </row>
    <row r="21" spans="2:7" ht="24">
      <c r="B21" s="8" t="s">
        <v>54</v>
      </c>
      <c r="C21" s="8" t="s">
        <v>55</v>
      </c>
      <c r="D21" s="4">
        <v>1</v>
      </c>
      <c r="E21" s="4">
        <v>1</v>
      </c>
      <c r="F21" s="11">
        <f t="shared" ref="F21:F25" si="1">IF(D21*E21&gt;0,D21*E21," ")</f>
        <v>1</v>
      </c>
      <c r="G21" s="4" t="s">
        <v>56</v>
      </c>
    </row>
    <row r="22" spans="2:7" ht="36">
      <c r="B22" s="8" t="s">
        <v>57</v>
      </c>
      <c r="C22" s="8" t="s">
        <v>58</v>
      </c>
      <c r="D22" s="4">
        <v>3</v>
      </c>
      <c r="E22" s="4">
        <v>1</v>
      </c>
      <c r="F22" s="11">
        <f t="shared" si="1"/>
        <v>3</v>
      </c>
      <c r="G22" s="4" t="s">
        <v>59</v>
      </c>
    </row>
    <row r="23" spans="2:7" ht="36">
      <c r="B23" s="8" t="s">
        <v>60</v>
      </c>
      <c r="C23" s="8" t="s">
        <v>61</v>
      </c>
      <c r="D23" s="4">
        <v>3</v>
      </c>
      <c r="E23" s="4">
        <v>1</v>
      </c>
      <c r="F23" s="11">
        <f t="shared" si="1"/>
        <v>3</v>
      </c>
      <c r="G23" s="4" t="s">
        <v>62</v>
      </c>
    </row>
    <row r="24" spans="2:7" ht="36">
      <c r="B24" s="8" t="s">
        <v>63</v>
      </c>
      <c r="C24" s="8" t="s">
        <v>64</v>
      </c>
      <c r="D24" s="4">
        <v>1</v>
      </c>
      <c r="E24" s="4">
        <v>2</v>
      </c>
      <c r="F24" s="11">
        <f t="shared" si="1"/>
        <v>2</v>
      </c>
      <c r="G24" s="4" t="s">
        <v>56</v>
      </c>
    </row>
    <row r="25" spans="2:7" ht="24">
      <c r="B25" s="8" t="s">
        <v>65</v>
      </c>
      <c r="C25" s="8" t="s">
        <v>66</v>
      </c>
      <c r="D25" s="4">
        <v>1</v>
      </c>
      <c r="E25" s="4">
        <v>1</v>
      </c>
      <c r="F25" s="11">
        <f t="shared" si="1"/>
        <v>1</v>
      </c>
      <c r="G25" s="4" t="s">
        <v>56</v>
      </c>
    </row>
    <row r="26" spans="2:7">
      <c r="E26" s="5" t="s">
        <v>51</v>
      </c>
      <c r="F26" s="6">
        <f>IFERROR(AVERAGE(F21:F25),"")</f>
        <v>2</v>
      </c>
    </row>
    <row r="28" spans="2:7">
      <c r="B28" s="122" t="s">
        <v>19</v>
      </c>
      <c r="C28" s="145"/>
    </row>
    <row r="29" spans="2:7" ht="24.75" customHeight="1">
      <c r="B29" s="95" t="s">
        <v>20</v>
      </c>
      <c r="C29" s="119" t="s">
        <v>67</v>
      </c>
    </row>
    <row r="30" spans="2:7" ht="24.75" customHeight="1">
      <c r="B30" s="95" t="s">
        <v>13</v>
      </c>
      <c r="C30" s="121"/>
    </row>
    <row r="31" spans="2:7" ht="52.5" customHeight="1">
      <c r="B31" s="95" t="s">
        <v>14</v>
      </c>
      <c r="C31" s="98" t="s">
        <v>68</v>
      </c>
    </row>
  </sheetData>
  <mergeCells count="7">
    <mergeCell ref="C6:G6"/>
    <mergeCell ref="C7:G7"/>
    <mergeCell ref="B28:C28"/>
    <mergeCell ref="C29:C30"/>
    <mergeCell ref="B11:G11"/>
    <mergeCell ref="B19:G19"/>
    <mergeCell ref="B9:G9"/>
  </mergeCells>
  <conditionalFormatting sqref="F13:F16">
    <cfRule type="cellIs" dxfId="5" priority="2" operator="between">
      <formula>1</formula>
      <formula>2</formula>
    </cfRule>
  </conditionalFormatting>
  <conditionalFormatting sqref="F13:F16">
    <cfRule type="cellIs" dxfId="4" priority="3" operator="between">
      <formula>3</formula>
      <formula>5</formula>
    </cfRule>
  </conditionalFormatting>
  <conditionalFormatting sqref="F13:F16">
    <cfRule type="cellIs" dxfId="3" priority="5" operator="between">
      <formula>6</formula>
      <formula>9</formula>
    </cfRule>
  </conditionalFormatting>
  <conditionalFormatting sqref="F21:F25">
    <cfRule type="cellIs" dxfId="2" priority="6" operator="between">
      <formula>6</formula>
      <formula>9</formula>
    </cfRule>
  </conditionalFormatting>
  <conditionalFormatting sqref="F22:F25">
    <cfRule type="cellIs" dxfId="1" priority="4" operator="between">
      <formula>3</formula>
      <formula>5</formula>
    </cfRule>
  </conditionalFormatting>
  <conditionalFormatting sqref="F21:F25">
    <cfRule type="cellIs" dxfId="0" priority="1" operator="between">
      <formula>1</formula>
      <formula>2</formula>
    </cfRule>
  </conditionalFormatting>
  <dataValidations count="3">
    <dataValidation type="whole" allowBlank="1" showInputMessage="1" showErrorMessage="1" errorTitle="Error" error="Solo se permite el ingreso de los siguientes valores: 1 - 2 - 3._x000a_3 representa la probabilildad mayor- 1 representa la probabilildad menor" sqref="E13:E16 E21:E25" xr:uid="{00000000-0002-0000-0200-000000000000}">
      <formula1>1</formula1>
      <formula2>3</formula2>
    </dataValidation>
    <dataValidation type="whole" allowBlank="1" showInputMessage="1" showErrorMessage="1" errorTitle="Error" error="Solo se permite el ingreso de los siguientes valores: 1 - 2 - 3._x000a_3 representa el impacto mayor- 1 representa el impacto menor" sqref="D21:D25 D13:D17" xr:uid="{00000000-0002-0000-0200-000001000000}">
      <formula1>1</formula1>
      <formula2>3</formula2>
    </dataValidation>
    <dataValidation allowBlank="1" showInputMessage="1" showErrorMessage="1" errorTitle="Error" error="Solo se permite el ingreso de los siguientes valores: 1 - 2 - 3._x000a_3 representa el impacto mayor- 1 representa el impacto menor" sqref="E17 E26" xr:uid="{00000000-0002-0000-0200-000002000000}"/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F96F0-5005-4EE9-86DE-F687A3C9C4D0}">
  <sheetPr>
    <tabColor theme="7" tint="-0.249977111117893"/>
  </sheetPr>
  <dimension ref="B6:G16"/>
  <sheetViews>
    <sheetView showGridLines="0" workbookViewId="0">
      <selection activeCell="B13" sqref="B13:C16"/>
    </sheetView>
  </sheetViews>
  <sheetFormatPr defaultRowHeight="15"/>
  <cols>
    <col min="2" max="2" width="22.42578125" customWidth="1"/>
    <col min="3" max="3" width="28.7109375" customWidth="1"/>
  </cols>
  <sheetData>
    <row r="6" spans="2:7">
      <c r="B6" s="122" t="s">
        <v>69</v>
      </c>
      <c r="C6" s="122"/>
      <c r="D6" s="122"/>
      <c r="E6" s="122"/>
      <c r="F6" s="122"/>
      <c r="G6" s="122"/>
    </row>
    <row r="7" spans="2:7">
      <c r="B7" s="151"/>
      <c r="C7" s="151"/>
      <c r="D7" s="151"/>
      <c r="E7" s="151"/>
      <c r="F7" s="151"/>
      <c r="G7" s="151"/>
    </row>
    <row r="8" spans="2:7">
      <c r="B8" s="96" t="s">
        <v>70</v>
      </c>
      <c r="C8" s="96"/>
      <c r="D8" s="150" t="s">
        <v>71</v>
      </c>
      <c r="E8" s="150"/>
      <c r="F8" s="150"/>
      <c r="G8" s="150"/>
    </row>
    <row r="9" spans="2:7">
      <c r="B9" s="14" t="s">
        <v>72</v>
      </c>
      <c r="C9" s="14"/>
      <c r="D9" s="151" t="s">
        <v>73</v>
      </c>
      <c r="E9" s="151"/>
      <c r="F9" s="151"/>
      <c r="G9" s="151"/>
    </row>
    <row r="10" spans="2:7">
      <c r="B10" s="152"/>
      <c r="C10" s="153"/>
      <c r="D10" s="151" t="s">
        <v>74</v>
      </c>
      <c r="E10" s="151"/>
      <c r="F10" s="151"/>
      <c r="G10" s="151"/>
    </row>
    <row r="13" spans="2:7">
      <c r="B13" s="122" t="s">
        <v>19</v>
      </c>
      <c r="C13" s="145"/>
    </row>
    <row r="14" spans="2:7" ht="24.75" customHeight="1">
      <c r="B14" s="95" t="s">
        <v>20</v>
      </c>
      <c r="C14" s="119" t="s">
        <v>75</v>
      </c>
    </row>
    <row r="15" spans="2:7" ht="24.75" customHeight="1">
      <c r="B15" s="95" t="s">
        <v>13</v>
      </c>
      <c r="C15" s="121"/>
    </row>
    <row r="16" spans="2:7" ht="44.25" customHeight="1">
      <c r="B16" s="95" t="s">
        <v>14</v>
      </c>
      <c r="C16" s="97" t="s">
        <v>76</v>
      </c>
    </row>
  </sheetData>
  <mergeCells count="8">
    <mergeCell ref="B6:G6"/>
    <mergeCell ref="D8:G8"/>
    <mergeCell ref="D9:G9"/>
    <mergeCell ref="B13:C13"/>
    <mergeCell ref="C14:C15"/>
    <mergeCell ref="B10:C10"/>
    <mergeCell ref="D10:G10"/>
    <mergeCell ref="B7:G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A9762-8FE0-4BBB-9E13-0E9B103DEF20}">
  <sheetPr>
    <tabColor theme="7" tint="-0.249977111117893"/>
  </sheetPr>
  <dimension ref="B6:H17"/>
  <sheetViews>
    <sheetView showGridLines="0" workbookViewId="0">
      <selection activeCell="H11" sqref="H11"/>
    </sheetView>
  </sheetViews>
  <sheetFormatPr defaultRowHeight="15"/>
  <cols>
    <col min="2" max="2" width="25.28515625" customWidth="1"/>
    <col min="3" max="3" width="48.85546875" customWidth="1"/>
    <col min="4" max="4" width="42.28515625" customWidth="1"/>
  </cols>
  <sheetData>
    <row r="6" spans="2:8">
      <c r="B6" s="122" t="s">
        <v>77</v>
      </c>
      <c r="C6" s="122"/>
      <c r="D6" s="122"/>
    </row>
    <row r="7" spans="2:8" ht="80.25" customHeight="1">
      <c r="B7" s="154" t="s">
        <v>78</v>
      </c>
      <c r="C7" s="155"/>
      <c r="D7" s="156"/>
    </row>
    <row r="8" spans="2:8">
      <c r="B8" s="152" t="s">
        <v>79</v>
      </c>
      <c r="C8" s="157"/>
      <c r="D8" s="153"/>
    </row>
    <row r="9" spans="2:8">
      <c r="B9" s="158" t="s">
        <v>80</v>
      </c>
      <c r="C9" s="159"/>
      <c r="D9" s="159"/>
    </row>
    <row r="10" spans="2:8">
      <c r="B10" s="18" t="s">
        <v>81</v>
      </c>
      <c r="C10" s="18" t="s">
        <v>82</v>
      </c>
      <c r="D10" s="19" t="s">
        <v>83</v>
      </c>
    </row>
    <row r="11" spans="2:8" ht="193.5" customHeight="1">
      <c r="B11" s="22" t="s">
        <v>84</v>
      </c>
      <c r="C11" s="20" t="s">
        <v>85</v>
      </c>
      <c r="D11" s="21" t="s">
        <v>86</v>
      </c>
      <c r="E11" s="17"/>
      <c r="F11" s="17"/>
      <c r="G11" s="17"/>
      <c r="H11" s="17"/>
    </row>
    <row r="14" spans="2:8">
      <c r="B14" s="122" t="s">
        <v>19</v>
      </c>
      <c r="C14" s="145"/>
    </row>
    <row r="15" spans="2:8" ht="25.5" customHeight="1">
      <c r="B15" s="95" t="s">
        <v>20</v>
      </c>
      <c r="C15" s="139" t="s">
        <v>87</v>
      </c>
    </row>
    <row r="16" spans="2:8" ht="25.5" customHeight="1">
      <c r="B16" s="95" t="s">
        <v>13</v>
      </c>
      <c r="C16" s="140"/>
    </row>
    <row r="17" spans="2:3" ht="25.5" customHeight="1">
      <c r="B17" s="95" t="s">
        <v>14</v>
      </c>
      <c r="C17" s="141"/>
    </row>
  </sheetData>
  <mergeCells count="6">
    <mergeCell ref="C15:C17"/>
    <mergeCell ref="B6:D6"/>
    <mergeCell ref="B7:D7"/>
    <mergeCell ref="B8:D8"/>
    <mergeCell ref="B9:D9"/>
    <mergeCell ref="B14:C14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97511-A293-4882-BC3D-EB2B74C48C4B}">
  <sheetPr>
    <tabColor theme="7" tint="-0.249977111117893"/>
  </sheetPr>
  <dimension ref="B5:L40"/>
  <sheetViews>
    <sheetView showGridLines="0" workbookViewId="0">
      <selection activeCell="C38" sqref="C38:C40"/>
    </sheetView>
  </sheetViews>
  <sheetFormatPr defaultRowHeight="15"/>
  <cols>
    <col min="2" max="2" width="22.28515625" customWidth="1"/>
    <col min="3" max="3" width="51.42578125" customWidth="1"/>
    <col min="5" max="5" width="10" customWidth="1"/>
    <col min="9" max="9" width="13.85546875" customWidth="1"/>
    <col min="10" max="10" width="7.5703125" customWidth="1"/>
  </cols>
  <sheetData>
    <row r="5" spans="2:12">
      <c r="B5" s="122" t="s">
        <v>88</v>
      </c>
      <c r="C5" s="122"/>
      <c r="D5" s="122"/>
      <c r="E5" s="13"/>
      <c r="F5" s="13"/>
      <c r="G5" s="13"/>
    </row>
    <row r="6" spans="2:12">
      <c r="B6" s="13"/>
      <c r="C6" s="13"/>
      <c r="D6" s="13"/>
      <c r="E6" s="13"/>
      <c r="F6" s="13"/>
      <c r="G6" s="13"/>
    </row>
    <row r="7" spans="2:12">
      <c r="B7" s="160" t="s">
        <v>89</v>
      </c>
      <c r="C7" s="161"/>
      <c r="D7" s="161"/>
      <c r="E7" s="161"/>
      <c r="F7" s="161"/>
      <c r="G7" s="162"/>
      <c r="I7" s="169" t="s">
        <v>90</v>
      </c>
      <c r="J7" s="169"/>
      <c r="K7" s="169"/>
      <c r="L7" s="169"/>
    </row>
    <row r="8" spans="2:12">
      <c r="B8" s="27" t="s">
        <v>91</v>
      </c>
      <c r="C8" s="27" t="s">
        <v>92</v>
      </c>
      <c r="D8" s="27" t="s">
        <v>93</v>
      </c>
      <c r="E8" s="27" t="s">
        <v>94</v>
      </c>
      <c r="F8" s="27" t="s">
        <v>95</v>
      </c>
      <c r="G8" s="27" t="s">
        <v>96</v>
      </c>
      <c r="I8" s="170" t="s">
        <v>97</v>
      </c>
      <c r="J8" s="170"/>
      <c r="K8" s="170"/>
      <c r="L8" s="45" t="s">
        <v>93</v>
      </c>
    </row>
    <row r="9" spans="2:12">
      <c r="B9" s="163" t="s">
        <v>98</v>
      </c>
      <c r="C9" s="29" t="s">
        <v>99</v>
      </c>
      <c r="D9" s="28">
        <v>1</v>
      </c>
      <c r="E9" s="28">
        <v>1</v>
      </c>
      <c r="F9" s="28">
        <v>3</v>
      </c>
      <c r="G9" s="28">
        <f>PRODUCT(D9:F9)</f>
        <v>3</v>
      </c>
      <c r="H9" s="12"/>
      <c r="I9" s="171" t="s">
        <v>100</v>
      </c>
      <c r="J9" s="171"/>
      <c r="K9" s="171"/>
      <c r="L9" s="44">
        <v>1</v>
      </c>
    </row>
    <row r="10" spans="2:12">
      <c r="B10" s="163"/>
      <c r="C10" s="29" t="s">
        <v>101</v>
      </c>
      <c r="D10" s="28">
        <v>2</v>
      </c>
      <c r="E10" s="28">
        <v>1</v>
      </c>
      <c r="F10" s="28">
        <v>3</v>
      </c>
      <c r="G10" s="28">
        <f t="shared" ref="G10:G21" si="0">PRODUCT(D10:F10)</f>
        <v>6</v>
      </c>
      <c r="I10" s="171" t="s">
        <v>102</v>
      </c>
      <c r="J10" s="171"/>
      <c r="K10" s="171"/>
      <c r="L10" s="44">
        <v>0.25</v>
      </c>
    </row>
    <row r="11" spans="2:12" ht="24">
      <c r="B11" s="163"/>
      <c r="C11" s="29" t="s">
        <v>103</v>
      </c>
      <c r="D11" s="28">
        <v>1</v>
      </c>
      <c r="E11" s="28">
        <v>1</v>
      </c>
      <c r="F11" s="28">
        <v>1</v>
      </c>
      <c r="G11" s="28">
        <f>PRODUCT(D11:F11)</f>
        <v>1</v>
      </c>
      <c r="I11" s="171" t="s">
        <v>104</v>
      </c>
      <c r="J11" s="171"/>
      <c r="K11" s="171"/>
      <c r="L11" s="44">
        <v>1</v>
      </c>
    </row>
    <row r="12" spans="2:12">
      <c r="B12" s="163"/>
      <c r="C12" s="29" t="s">
        <v>105</v>
      </c>
      <c r="D12" s="28">
        <v>0.5</v>
      </c>
      <c r="E12" s="28">
        <v>1</v>
      </c>
      <c r="F12" s="28">
        <v>3</v>
      </c>
      <c r="G12" s="28">
        <f t="shared" si="0"/>
        <v>1.5</v>
      </c>
      <c r="I12" s="171" t="s">
        <v>106</v>
      </c>
      <c r="J12" s="171"/>
      <c r="K12" s="171"/>
      <c r="L12" s="44">
        <v>2</v>
      </c>
    </row>
    <row r="13" spans="2:12">
      <c r="B13" s="164" t="s">
        <v>107</v>
      </c>
      <c r="C13" s="31" t="s">
        <v>108</v>
      </c>
      <c r="D13" s="30">
        <v>0.5</v>
      </c>
      <c r="E13" s="30">
        <v>1</v>
      </c>
      <c r="F13" s="30">
        <v>3</v>
      </c>
      <c r="G13" s="30">
        <f t="shared" si="0"/>
        <v>1.5</v>
      </c>
      <c r="I13" s="171" t="s">
        <v>109</v>
      </c>
      <c r="J13" s="171"/>
      <c r="K13" s="171"/>
      <c r="L13" s="44">
        <v>2</v>
      </c>
    </row>
    <row r="14" spans="2:12">
      <c r="B14" s="164"/>
      <c r="C14" s="31" t="s">
        <v>110</v>
      </c>
      <c r="D14" s="30">
        <v>1</v>
      </c>
      <c r="E14" s="30">
        <v>1</v>
      </c>
      <c r="F14" s="30">
        <v>2</v>
      </c>
      <c r="G14" s="30">
        <f t="shared" si="0"/>
        <v>2</v>
      </c>
      <c r="I14" s="172" t="s">
        <v>111</v>
      </c>
      <c r="J14" s="172"/>
      <c r="K14" s="172"/>
      <c r="L14" s="46">
        <v>1</v>
      </c>
    </row>
    <row r="15" spans="2:12">
      <c r="B15" s="164"/>
      <c r="C15" s="31" t="s">
        <v>112</v>
      </c>
      <c r="D15" s="30">
        <v>0.5</v>
      </c>
      <c r="E15" s="30">
        <v>1</v>
      </c>
      <c r="F15" s="30">
        <v>1</v>
      </c>
      <c r="G15" s="30">
        <f t="shared" si="0"/>
        <v>0.5</v>
      </c>
      <c r="I15" s="167" t="s">
        <v>96</v>
      </c>
      <c r="J15" s="167"/>
      <c r="K15" s="167"/>
      <c r="L15" s="26">
        <f>SUM(L9:L14)</f>
        <v>7.25</v>
      </c>
    </row>
    <row r="16" spans="2:12">
      <c r="B16" s="164"/>
      <c r="C16" s="31" t="s">
        <v>113</v>
      </c>
      <c r="D16" s="30">
        <v>2</v>
      </c>
      <c r="E16" s="30">
        <v>1</v>
      </c>
      <c r="F16" s="30">
        <v>3</v>
      </c>
      <c r="G16" s="30">
        <f t="shared" si="0"/>
        <v>6</v>
      </c>
    </row>
    <row r="17" spans="2:11">
      <c r="B17" s="164"/>
      <c r="C17" s="31" t="s">
        <v>114</v>
      </c>
      <c r="D17" s="30">
        <v>1.5</v>
      </c>
      <c r="E17" s="30">
        <v>1</v>
      </c>
      <c r="F17" s="30">
        <v>2</v>
      </c>
      <c r="G17" s="30">
        <f t="shared" si="0"/>
        <v>3</v>
      </c>
    </row>
    <row r="18" spans="2:11">
      <c r="B18" s="164"/>
      <c r="C18" s="31" t="s">
        <v>115</v>
      </c>
      <c r="D18" s="30">
        <v>2</v>
      </c>
      <c r="E18" s="30">
        <v>1</v>
      </c>
      <c r="F18" s="30">
        <v>3</v>
      </c>
      <c r="G18" s="30">
        <f t="shared" si="0"/>
        <v>6</v>
      </c>
    </row>
    <row r="19" spans="2:11" ht="24">
      <c r="B19" s="164"/>
      <c r="C19" s="31" t="s">
        <v>116</v>
      </c>
      <c r="D19" s="30">
        <v>1</v>
      </c>
      <c r="E19" s="30">
        <v>1</v>
      </c>
      <c r="F19" s="30">
        <v>3</v>
      </c>
      <c r="G19" s="30">
        <f t="shared" si="0"/>
        <v>3</v>
      </c>
      <c r="I19" s="47" t="s">
        <v>117</v>
      </c>
      <c r="J19" s="48">
        <f>SUM(G33+L15)</f>
        <v>91.85</v>
      </c>
    </row>
    <row r="20" spans="2:11" ht="24">
      <c r="B20" s="164"/>
      <c r="C20" s="31" t="s">
        <v>118</v>
      </c>
      <c r="D20" s="30">
        <v>2</v>
      </c>
      <c r="E20" s="30">
        <v>1</v>
      </c>
      <c r="F20" s="30">
        <v>3</v>
      </c>
      <c r="G20" s="30">
        <f t="shared" si="0"/>
        <v>6</v>
      </c>
      <c r="I20" s="49" t="s">
        <v>119</v>
      </c>
      <c r="J20" s="9">
        <f>J19*0.35</f>
        <v>32.147499999999994</v>
      </c>
    </row>
    <row r="21" spans="2:11">
      <c r="B21" s="164"/>
      <c r="C21" s="31" t="s">
        <v>120</v>
      </c>
      <c r="D21" s="30">
        <v>1</v>
      </c>
      <c r="E21" s="30">
        <v>1</v>
      </c>
      <c r="F21" s="30">
        <v>2</v>
      </c>
      <c r="G21" s="30">
        <f t="shared" si="0"/>
        <v>2</v>
      </c>
      <c r="I21" s="49" t="s">
        <v>96</v>
      </c>
      <c r="J21" s="9">
        <f>SUM(J19+J20)</f>
        <v>123.99749999999999</v>
      </c>
      <c r="K21" s="1"/>
    </row>
    <row r="22" spans="2:11">
      <c r="B22" s="165" t="s">
        <v>121</v>
      </c>
      <c r="C22" s="33" t="s">
        <v>122</v>
      </c>
      <c r="D22" s="32">
        <v>1</v>
      </c>
      <c r="E22" s="34">
        <v>3</v>
      </c>
      <c r="F22" s="34">
        <v>2</v>
      </c>
      <c r="G22" s="35">
        <f>PRODUCT(D22:F22)</f>
        <v>6</v>
      </c>
      <c r="I22" s="50" t="s">
        <v>123</v>
      </c>
      <c r="J22" s="51">
        <f>J21/3</f>
        <v>41.332499999999996</v>
      </c>
    </row>
    <row r="23" spans="2:11">
      <c r="B23" s="165"/>
      <c r="C23" s="33" t="s">
        <v>124</v>
      </c>
      <c r="D23" s="32">
        <v>1</v>
      </c>
      <c r="E23" s="34">
        <v>1</v>
      </c>
      <c r="F23" s="34">
        <v>1</v>
      </c>
      <c r="G23" s="35">
        <f>PRODUCT(D23:F23)</f>
        <v>1</v>
      </c>
      <c r="I23" s="173" t="s">
        <v>125</v>
      </c>
      <c r="J23" s="175">
        <v>5</v>
      </c>
    </row>
    <row r="24" spans="2:11">
      <c r="B24" s="165"/>
      <c r="C24" s="33" t="s">
        <v>126</v>
      </c>
      <c r="D24" s="32">
        <v>3</v>
      </c>
      <c r="E24" s="34">
        <v>1</v>
      </c>
      <c r="F24" s="34">
        <v>1</v>
      </c>
      <c r="G24" s="35">
        <f>PRODUCT(D24:F24)</f>
        <v>3</v>
      </c>
      <c r="I24" s="173"/>
      <c r="J24" s="175"/>
    </row>
    <row r="25" spans="2:11">
      <c r="B25" s="168" t="s">
        <v>127</v>
      </c>
      <c r="C25" s="37" t="s">
        <v>128</v>
      </c>
      <c r="D25" s="38">
        <v>0.5</v>
      </c>
      <c r="E25" s="38">
        <v>1</v>
      </c>
      <c r="F25" s="38">
        <v>1</v>
      </c>
      <c r="G25" s="36">
        <f>PRODUCT(D25:F25)</f>
        <v>0.5</v>
      </c>
      <c r="I25" s="173"/>
      <c r="J25" s="175"/>
    </row>
    <row r="26" spans="2:11">
      <c r="B26" s="168"/>
      <c r="C26" s="37" t="s">
        <v>129</v>
      </c>
      <c r="D26" s="38">
        <v>0.2</v>
      </c>
      <c r="E26" s="38">
        <v>3</v>
      </c>
      <c r="F26" s="38">
        <v>1</v>
      </c>
      <c r="G26" s="36">
        <f>PRODUCT(D26:F26)</f>
        <v>0.60000000000000009</v>
      </c>
      <c r="I26" s="174"/>
      <c r="J26" s="176"/>
    </row>
    <row r="27" spans="2:11">
      <c r="B27" s="168"/>
      <c r="C27" s="37" t="s">
        <v>130</v>
      </c>
      <c r="D27" s="38">
        <v>5</v>
      </c>
      <c r="E27" s="38">
        <v>1</v>
      </c>
      <c r="F27" s="38">
        <v>3</v>
      </c>
      <c r="G27" s="36">
        <f>PRODUCT(D27:F27)</f>
        <v>15</v>
      </c>
    </row>
    <row r="28" spans="2:11">
      <c r="B28" s="168"/>
      <c r="C28" s="37" t="s">
        <v>131</v>
      </c>
      <c r="D28" s="38">
        <v>2</v>
      </c>
      <c r="E28" s="38">
        <v>1</v>
      </c>
      <c r="F28" s="38">
        <v>3</v>
      </c>
      <c r="G28" s="36">
        <f>PRODUCT(D28:F28)</f>
        <v>6</v>
      </c>
    </row>
    <row r="29" spans="2:11" ht="15" customHeight="1">
      <c r="B29" s="166" t="s">
        <v>132</v>
      </c>
      <c r="C29" s="40" t="s">
        <v>133</v>
      </c>
      <c r="D29" s="41">
        <v>1</v>
      </c>
      <c r="E29" s="41">
        <v>1</v>
      </c>
      <c r="F29" s="41">
        <v>3</v>
      </c>
      <c r="G29" s="39">
        <f>PRODUCT(D29:F29)</f>
        <v>3</v>
      </c>
    </row>
    <row r="30" spans="2:11">
      <c r="B30" s="166"/>
      <c r="C30" s="40" t="s">
        <v>134</v>
      </c>
      <c r="D30" s="41">
        <v>2</v>
      </c>
      <c r="E30" s="41">
        <v>1</v>
      </c>
      <c r="F30" s="41">
        <v>1</v>
      </c>
      <c r="G30" s="39">
        <f>PRODUCT(D30:F30)</f>
        <v>2</v>
      </c>
    </row>
    <row r="31" spans="2:11">
      <c r="B31" s="166"/>
      <c r="C31" s="40" t="s">
        <v>135</v>
      </c>
      <c r="D31" s="41">
        <v>3</v>
      </c>
      <c r="E31" s="41">
        <v>1</v>
      </c>
      <c r="F31" s="41">
        <v>1</v>
      </c>
      <c r="G31" s="39">
        <f>PRODUCT(D31:F31)</f>
        <v>3</v>
      </c>
    </row>
    <row r="32" spans="2:11">
      <c r="B32" s="166"/>
      <c r="C32" s="40" t="s">
        <v>136</v>
      </c>
      <c r="D32" s="42">
        <v>3</v>
      </c>
      <c r="E32" s="42">
        <v>1</v>
      </c>
      <c r="F32" s="42">
        <v>1</v>
      </c>
      <c r="G32" s="43">
        <f>PRODUCT(D32:F32)</f>
        <v>3</v>
      </c>
    </row>
    <row r="33" spans="2:7">
      <c r="D33" s="167" t="s">
        <v>137</v>
      </c>
      <c r="E33" s="167"/>
      <c r="F33" s="167"/>
      <c r="G33" s="26">
        <f>SUM(G9:G32)</f>
        <v>84.6</v>
      </c>
    </row>
    <row r="37" spans="2:7">
      <c r="B37" s="122" t="s">
        <v>19</v>
      </c>
      <c r="C37" s="145"/>
    </row>
    <row r="38" spans="2:7" ht="27.75" customHeight="1">
      <c r="B38" s="95" t="s">
        <v>20</v>
      </c>
      <c r="C38" s="139" t="s">
        <v>138</v>
      </c>
    </row>
    <row r="39" spans="2:7" ht="27.75" customHeight="1">
      <c r="B39" s="95" t="s">
        <v>13</v>
      </c>
      <c r="C39" s="140"/>
    </row>
    <row r="40" spans="2:7" ht="27.75" customHeight="1">
      <c r="B40" s="95" t="s">
        <v>14</v>
      </c>
      <c r="C40" s="141"/>
    </row>
  </sheetData>
  <mergeCells count="21">
    <mergeCell ref="I12:K12"/>
    <mergeCell ref="I13:K13"/>
    <mergeCell ref="I14:K14"/>
    <mergeCell ref="I15:K15"/>
    <mergeCell ref="I23:I26"/>
    <mergeCell ref="J23:J26"/>
    <mergeCell ref="I7:L7"/>
    <mergeCell ref="I8:K8"/>
    <mergeCell ref="I9:K9"/>
    <mergeCell ref="I10:K10"/>
    <mergeCell ref="I11:K11"/>
    <mergeCell ref="B37:C37"/>
    <mergeCell ref="C38:C40"/>
    <mergeCell ref="B5:D5"/>
    <mergeCell ref="B7:G7"/>
    <mergeCell ref="B9:B12"/>
    <mergeCell ref="B13:B21"/>
    <mergeCell ref="B22:B24"/>
    <mergeCell ref="B29:B32"/>
    <mergeCell ref="D33:F33"/>
    <mergeCell ref="B25:B2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C5F63-8179-4AAE-B256-0AAD84926ABE}">
  <sheetPr>
    <tabColor theme="7" tint="-0.249977111117893"/>
  </sheetPr>
  <dimension ref="B6:H43"/>
  <sheetViews>
    <sheetView showGridLines="0" topLeftCell="A13" workbookViewId="0">
      <selection activeCell="C41" sqref="C41:C43"/>
    </sheetView>
  </sheetViews>
  <sheetFormatPr defaultRowHeight="15"/>
  <cols>
    <col min="2" max="2" width="17.42578125" customWidth="1"/>
    <col min="3" max="3" width="64.140625" customWidth="1"/>
  </cols>
  <sheetData>
    <row r="6" spans="2:8">
      <c r="B6" s="169" t="s">
        <v>139</v>
      </c>
      <c r="C6" s="183"/>
      <c r="D6" s="169" t="s">
        <v>140</v>
      </c>
      <c r="E6" s="169"/>
      <c r="F6" s="169"/>
      <c r="G6" s="169"/>
      <c r="H6" s="169"/>
    </row>
    <row r="7" spans="2:8" ht="15" customHeight="1">
      <c r="B7" s="181"/>
      <c r="C7" s="182"/>
      <c r="D7" s="178" t="s">
        <v>141</v>
      </c>
      <c r="E7" s="179"/>
      <c r="F7" s="179"/>
      <c r="G7" s="179"/>
      <c r="H7" s="180"/>
    </row>
    <row r="8" spans="2:8">
      <c r="B8" s="52" t="s">
        <v>91</v>
      </c>
      <c r="C8" s="60" t="s">
        <v>92</v>
      </c>
      <c r="D8" s="104">
        <v>12</v>
      </c>
      <c r="E8" s="104">
        <v>13</v>
      </c>
      <c r="F8" s="104">
        <v>14</v>
      </c>
      <c r="G8" s="104">
        <v>15</v>
      </c>
      <c r="H8" s="104">
        <v>16</v>
      </c>
    </row>
    <row r="9" spans="2:8">
      <c r="B9" s="177" t="s">
        <v>90</v>
      </c>
      <c r="C9" s="53" t="s">
        <v>102</v>
      </c>
      <c r="D9" s="99"/>
      <c r="E9" s="115"/>
      <c r="F9" s="115"/>
      <c r="G9" s="115"/>
      <c r="H9" s="105"/>
    </row>
    <row r="10" spans="2:8">
      <c r="B10" s="177"/>
      <c r="C10" s="53" t="s">
        <v>100</v>
      </c>
      <c r="D10" s="116"/>
      <c r="E10" s="101"/>
      <c r="F10" s="101"/>
      <c r="G10" s="101"/>
      <c r="H10" s="106"/>
    </row>
    <row r="11" spans="2:8">
      <c r="B11" s="177"/>
      <c r="C11" s="53" t="s">
        <v>104</v>
      </c>
      <c r="D11" s="100"/>
      <c r="E11" s="101"/>
      <c r="F11" s="114"/>
      <c r="G11" s="101"/>
      <c r="H11" s="106"/>
    </row>
    <row r="12" spans="2:8">
      <c r="B12" s="177"/>
      <c r="C12" s="53" t="s">
        <v>106</v>
      </c>
      <c r="D12" s="100"/>
      <c r="E12" s="101"/>
      <c r="F12" s="101"/>
      <c r="G12" s="114"/>
      <c r="H12" s="106"/>
    </row>
    <row r="13" spans="2:8">
      <c r="B13" s="177"/>
      <c r="C13" s="53" t="s">
        <v>109</v>
      </c>
      <c r="D13" s="102"/>
      <c r="E13" s="103"/>
      <c r="F13" s="103"/>
      <c r="G13" s="103"/>
      <c r="H13" s="113"/>
    </row>
    <row r="14" spans="2:8">
      <c r="B14" s="184" t="s">
        <v>98</v>
      </c>
      <c r="C14" s="54" t="s">
        <v>99</v>
      </c>
      <c r="D14" s="108"/>
      <c r="E14" s="101"/>
      <c r="F14" s="101"/>
      <c r="G14" s="101"/>
      <c r="H14" s="106"/>
    </row>
    <row r="15" spans="2:8">
      <c r="B15" s="163"/>
      <c r="C15" s="55" t="s">
        <v>101</v>
      </c>
      <c r="D15" s="108"/>
      <c r="E15" s="101"/>
      <c r="F15" s="101"/>
      <c r="G15" s="101"/>
      <c r="H15" s="106"/>
    </row>
    <row r="16" spans="2:8">
      <c r="B16" s="163"/>
      <c r="C16" s="55" t="s">
        <v>103</v>
      </c>
      <c r="D16" s="108"/>
      <c r="E16" s="101"/>
      <c r="F16" s="101"/>
      <c r="G16" s="101"/>
      <c r="H16" s="106"/>
    </row>
    <row r="17" spans="2:8">
      <c r="B17" s="163"/>
      <c r="C17" s="55" t="s">
        <v>105</v>
      </c>
      <c r="D17" s="108"/>
      <c r="E17" s="101"/>
      <c r="F17" s="101"/>
      <c r="G17" s="101"/>
      <c r="H17" s="106"/>
    </row>
    <row r="18" spans="2:8">
      <c r="B18" s="164" t="s">
        <v>107</v>
      </c>
      <c r="C18" s="56" t="s">
        <v>108</v>
      </c>
      <c r="D18" s="108"/>
      <c r="E18" s="101"/>
      <c r="F18" s="101"/>
      <c r="G18" s="101"/>
      <c r="H18" s="106"/>
    </row>
    <row r="19" spans="2:8">
      <c r="B19" s="164"/>
      <c r="C19" s="56" t="s">
        <v>110</v>
      </c>
      <c r="D19" s="108"/>
      <c r="E19" s="101"/>
      <c r="F19" s="101"/>
      <c r="G19" s="101"/>
      <c r="H19" s="106"/>
    </row>
    <row r="20" spans="2:8">
      <c r="B20" s="164"/>
      <c r="C20" s="56" t="s">
        <v>112</v>
      </c>
      <c r="D20" s="108"/>
      <c r="E20" s="101"/>
      <c r="F20" s="101"/>
      <c r="G20" s="101"/>
      <c r="H20" s="106"/>
    </row>
    <row r="21" spans="2:8">
      <c r="B21" s="164"/>
      <c r="C21" s="56" t="s">
        <v>113</v>
      </c>
      <c r="D21" s="108"/>
      <c r="E21" s="109"/>
      <c r="F21" s="101"/>
      <c r="G21" s="101"/>
      <c r="H21" s="106"/>
    </row>
    <row r="22" spans="2:8">
      <c r="B22" s="164"/>
      <c r="C22" s="56" t="s">
        <v>114</v>
      </c>
      <c r="D22" s="100"/>
      <c r="E22" s="109"/>
      <c r="F22" s="101"/>
      <c r="G22" s="101"/>
      <c r="H22" s="106"/>
    </row>
    <row r="23" spans="2:8">
      <c r="B23" s="164"/>
      <c r="C23" s="56" t="s">
        <v>115</v>
      </c>
      <c r="D23" s="100"/>
      <c r="E23" s="109"/>
      <c r="F23" s="101"/>
      <c r="G23" s="101"/>
      <c r="H23" s="106"/>
    </row>
    <row r="24" spans="2:8" ht="24">
      <c r="B24" s="164"/>
      <c r="C24" s="56" t="s">
        <v>116</v>
      </c>
      <c r="D24" s="100"/>
      <c r="E24" s="109"/>
      <c r="F24" s="101"/>
      <c r="G24" s="101"/>
      <c r="H24" s="106"/>
    </row>
    <row r="25" spans="2:8">
      <c r="B25" s="164"/>
      <c r="C25" s="56" t="s">
        <v>118</v>
      </c>
      <c r="D25" s="100"/>
      <c r="E25" s="109"/>
      <c r="F25" s="101"/>
      <c r="G25" s="101"/>
      <c r="H25" s="106"/>
    </row>
    <row r="26" spans="2:8">
      <c r="B26" s="164"/>
      <c r="C26" s="56" t="s">
        <v>120</v>
      </c>
      <c r="D26" s="100"/>
      <c r="E26" s="109"/>
      <c r="F26" s="101"/>
      <c r="G26" s="101"/>
      <c r="H26" s="106"/>
    </row>
    <row r="27" spans="2:8">
      <c r="B27" s="165" t="s">
        <v>121</v>
      </c>
      <c r="C27" s="57" t="s">
        <v>122</v>
      </c>
      <c r="D27" s="100"/>
      <c r="E27" s="109"/>
      <c r="F27" s="101"/>
      <c r="G27" s="101"/>
      <c r="H27" s="106"/>
    </row>
    <row r="28" spans="2:8">
      <c r="B28" s="165"/>
      <c r="C28" s="57" t="s">
        <v>124</v>
      </c>
      <c r="D28" s="100"/>
      <c r="E28" s="109"/>
      <c r="F28" s="110"/>
      <c r="G28" s="101"/>
      <c r="H28" s="106"/>
    </row>
    <row r="29" spans="2:8">
      <c r="B29" s="165"/>
      <c r="C29" s="57" t="s">
        <v>126</v>
      </c>
      <c r="D29" s="100"/>
      <c r="E29" s="101"/>
      <c r="F29" s="110"/>
      <c r="G29" s="101"/>
      <c r="H29" s="106"/>
    </row>
    <row r="30" spans="2:8">
      <c r="B30" s="168" t="s">
        <v>127</v>
      </c>
      <c r="C30" s="58" t="s">
        <v>128</v>
      </c>
      <c r="D30" s="100"/>
      <c r="E30" s="101"/>
      <c r="F30" s="110"/>
      <c r="G30" s="101"/>
      <c r="H30" s="106"/>
    </row>
    <row r="31" spans="2:8">
      <c r="B31" s="168"/>
      <c r="C31" s="58" t="s">
        <v>129</v>
      </c>
      <c r="D31" s="100"/>
      <c r="E31" s="101"/>
      <c r="F31" s="110"/>
      <c r="G31" s="101"/>
      <c r="H31" s="106"/>
    </row>
    <row r="32" spans="2:8">
      <c r="B32" s="168"/>
      <c r="C32" s="58" t="s">
        <v>130</v>
      </c>
      <c r="D32" s="100"/>
      <c r="E32" s="101"/>
      <c r="F32" s="110"/>
      <c r="G32" s="101"/>
      <c r="H32" s="106"/>
    </row>
    <row r="33" spans="2:8">
      <c r="B33" s="168"/>
      <c r="C33" s="58" t="s">
        <v>131</v>
      </c>
      <c r="D33" s="100"/>
      <c r="E33" s="101"/>
      <c r="F33" s="110"/>
      <c r="G33" s="101"/>
      <c r="H33" s="106"/>
    </row>
    <row r="34" spans="2:8">
      <c r="B34" s="166" t="s">
        <v>132</v>
      </c>
      <c r="C34" s="59" t="s">
        <v>133</v>
      </c>
      <c r="D34" s="100"/>
      <c r="E34" s="101"/>
      <c r="F34" s="101"/>
      <c r="G34" s="111"/>
      <c r="H34" s="106"/>
    </row>
    <row r="35" spans="2:8">
      <c r="B35" s="166"/>
      <c r="C35" s="59" t="s">
        <v>134</v>
      </c>
      <c r="D35" s="100"/>
      <c r="E35" s="101"/>
      <c r="F35" s="101"/>
      <c r="G35" s="111"/>
      <c r="H35" s="106"/>
    </row>
    <row r="36" spans="2:8">
      <c r="B36" s="166"/>
      <c r="C36" s="59" t="s">
        <v>135</v>
      </c>
      <c r="D36" s="100"/>
      <c r="E36" s="101"/>
      <c r="F36" s="101"/>
      <c r="G36" s="111"/>
      <c r="H36" s="106"/>
    </row>
    <row r="37" spans="2:8">
      <c r="B37" s="166"/>
      <c r="C37" s="59" t="s">
        <v>136</v>
      </c>
      <c r="D37" s="102"/>
      <c r="E37" s="103"/>
      <c r="F37" s="103"/>
      <c r="G37" s="112"/>
      <c r="H37" s="107"/>
    </row>
    <row r="40" spans="2:8">
      <c r="B40" s="122" t="s">
        <v>19</v>
      </c>
      <c r="C40" s="145"/>
    </row>
    <row r="41" spans="2:8" ht="33.75" customHeight="1">
      <c r="B41" s="118" t="s">
        <v>20</v>
      </c>
      <c r="C41" s="139" t="s">
        <v>142</v>
      </c>
    </row>
    <row r="42" spans="2:8" ht="33.75" customHeight="1">
      <c r="B42" s="118" t="s">
        <v>13</v>
      </c>
      <c r="C42" s="140"/>
    </row>
    <row r="43" spans="2:8" ht="33.75" customHeight="1">
      <c r="B43" s="118" t="s">
        <v>14</v>
      </c>
      <c r="C43" s="141"/>
    </row>
  </sheetData>
  <mergeCells count="12">
    <mergeCell ref="B40:C40"/>
    <mergeCell ref="C41:C43"/>
    <mergeCell ref="B34:B37"/>
    <mergeCell ref="B9:B13"/>
    <mergeCell ref="D6:H6"/>
    <mergeCell ref="D7:H7"/>
    <mergeCell ref="B7:C7"/>
    <mergeCell ref="B6:C6"/>
    <mergeCell ref="B14:B17"/>
    <mergeCell ref="B18:B26"/>
    <mergeCell ref="B27:B29"/>
    <mergeCell ref="B30:B33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18FF-78A3-4022-A15F-E879A7BFF2E4}">
  <sheetPr>
    <tabColor theme="6" tint="0.39997558519241921"/>
  </sheetPr>
  <dimension ref="B5:N42"/>
  <sheetViews>
    <sheetView showGridLines="0" workbookViewId="0">
      <selection activeCell="M18" sqref="M18"/>
    </sheetView>
  </sheetViews>
  <sheetFormatPr defaultRowHeight="15"/>
  <cols>
    <col min="2" max="2" width="14.85546875" customWidth="1"/>
    <col min="3" max="3" width="27.140625" customWidth="1"/>
    <col min="4" max="4" width="28" customWidth="1"/>
    <col min="5" max="5" width="23.7109375" customWidth="1"/>
    <col min="6" max="6" width="20.5703125" customWidth="1"/>
    <col min="7" max="7" width="14.140625" customWidth="1"/>
    <col min="8" max="8" width="17.5703125" customWidth="1"/>
    <col min="9" max="9" width="15.5703125" customWidth="1"/>
    <col min="10" max="10" width="25.140625" customWidth="1"/>
    <col min="11" max="11" width="29.42578125" customWidth="1"/>
    <col min="12" max="12" width="21" customWidth="1"/>
    <col min="13" max="13" width="22" customWidth="1"/>
    <col min="14" max="14" width="14.28515625" customWidth="1"/>
  </cols>
  <sheetData>
    <row r="5" spans="2:14">
      <c r="D5" s="222" t="s">
        <v>143</v>
      </c>
      <c r="E5" s="223"/>
      <c r="F5" s="223"/>
      <c r="G5" s="223"/>
      <c r="H5" s="224"/>
      <c r="J5" s="225" t="s">
        <v>19</v>
      </c>
      <c r="K5" s="226"/>
      <c r="L5" s="226"/>
      <c r="M5" s="227"/>
    </row>
    <row r="6" spans="2:14">
      <c r="D6" s="188" t="s">
        <v>144</v>
      </c>
      <c r="E6" s="189"/>
      <c r="F6" s="188" t="s">
        <v>145</v>
      </c>
      <c r="G6" s="189"/>
      <c r="H6" s="70" t="s">
        <v>146</v>
      </c>
      <c r="J6" s="117" t="s">
        <v>20</v>
      </c>
      <c r="K6" s="187" t="s">
        <v>147</v>
      </c>
      <c r="L6" s="187"/>
      <c r="M6" s="187"/>
    </row>
    <row r="7" spans="2:14">
      <c r="D7" s="181" t="s">
        <v>148</v>
      </c>
      <c r="E7" s="186"/>
      <c r="F7" s="181" t="s">
        <v>149</v>
      </c>
      <c r="G7" s="186"/>
      <c r="H7" s="69">
        <v>44910</v>
      </c>
      <c r="J7" s="117" t="s">
        <v>13</v>
      </c>
      <c r="K7" s="187" t="s">
        <v>150</v>
      </c>
      <c r="L7" s="187"/>
      <c r="M7" s="187"/>
    </row>
    <row r="8" spans="2:14">
      <c r="D8" s="90" t="s">
        <v>151</v>
      </c>
      <c r="E8" s="181" t="s">
        <v>152</v>
      </c>
      <c r="F8" s="182"/>
      <c r="G8" s="186"/>
      <c r="H8" s="89"/>
      <c r="J8" s="117" t="s">
        <v>14</v>
      </c>
      <c r="K8" s="187" t="s">
        <v>153</v>
      </c>
      <c r="L8" s="187"/>
      <c r="M8" s="187"/>
    </row>
    <row r="11" spans="2:14" ht="24.75" customHeight="1">
      <c r="D11" s="185" t="s">
        <v>154</v>
      </c>
      <c r="E11" s="185"/>
      <c r="F11" s="185"/>
      <c r="J11" s="185" t="s">
        <v>155</v>
      </c>
      <c r="K11" s="185"/>
      <c r="L11" s="185"/>
    </row>
    <row r="12" spans="2:14" ht="24" customHeight="1"/>
    <row r="13" spans="2:14">
      <c r="B13" s="193" t="s">
        <v>156</v>
      </c>
      <c r="C13" s="194"/>
      <c r="D13" s="194"/>
      <c r="E13" s="194"/>
      <c r="F13" s="194"/>
      <c r="G13" s="195"/>
      <c r="I13" s="193" t="s">
        <v>157</v>
      </c>
      <c r="J13" s="194"/>
      <c r="K13" s="194"/>
      <c r="L13" s="194"/>
      <c r="M13" s="194"/>
      <c r="N13" s="195"/>
    </row>
    <row r="14" spans="2:14" ht="30" customHeight="1">
      <c r="B14" s="61" t="s">
        <v>158</v>
      </c>
      <c r="C14" s="196" t="s">
        <v>159</v>
      </c>
      <c r="D14" s="197"/>
      <c r="E14" s="198"/>
      <c r="F14" s="61" t="s">
        <v>160</v>
      </c>
      <c r="G14" s="62">
        <v>44909</v>
      </c>
      <c r="I14" s="61" t="s">
        <v>158</v>
      </c>
      <c r="J14" s="196" t="s">
        <v>161</v>
      </c>
      <c r="K14" s="197"/>
      <c r="L14" s="198"/>
      <c r="M14" s="61" t="s">
        <v>160</v>
      </c>
      <c r="N14" s="62">
        <v>44909</v>
      </c>
    </row>
    <row r="15" spans="2:14">
      <c r="B15" s="204" t="s">
        <v>162</v>
      </c>
      <c r="C15" s="205"/>
      <c r="D15" s="201" t="s">
        <v>152</v>
      </c>
      <c r="E15" s="202"/>
      <c r="F15" s="202"/>
      <c r="G15" s="203"/>
      <c r="I15" s="199" t="s">
        <v>162</v>
      </c>
      <c r="J15" s="200"/>
      <c r="K15" s="201" t="s">
        <v>152</v>
      </c>
      <c r="L15" s="202"/>
      <c r="M15" s="202"/>
      <c r="N15" s="203"/>
    </row>
    <row r="16" spans="2:14" ht="27" customHeight="1">
      <c r="B16" s="67" t="s">
        <v>163</v>
      </c>
      <c r="C16" s="190" t="s">
        <v>164</v>
      </c>
      <c r="D16" s="191"/>
      <c r="E16" s="191"/>
      <c r="F16" s="191"/>
      <c r="G16" s="192"/>
      <c r="I16" s="68" t="s">
        <v>163</v>
      </c>
      <c r="J16" s="190" t="s">
        <v>164</v>
      </c>
      <c r="K16" s="191"/>
      <c r="L16" s="191"/>
      <c r="M16" s="191"/>
      <c r="N16" s="192"/>
    </row>
    <row r="17" spans="2:14" ht="40.5" customHeight="1">
      <c r="B17" s="71" t="s">
        <v>165</v>
      </c>
      <c r="C17" s="72" t="s">
        <v>166</v>
      </c>
      <c r="D17" s="73" t="s">
        <v>167</v>
      </c>
      <c r="E17" s="74" t="s">
        <v>168</v>
      </c>
      <c r="F17" s="75" t="s">
        <v>169</v>
      </c>
      <c r="G17" s="73" t="s">
        <v>170</v>
      </c>
      <c r="H17" s="12"/>
      <c r="I17" s="71" t="s">
        <v>165</v>
      </c>
      <c r="J17" s="72" t="s">
        <v>166</v>
      </c>
      <c r="K17" s="73" t="s">
        <v>167</v>
      </c>
      <c r="L17" s="74" t="s">
        <v>168</v>
      </c>
      <c r="M17" s="75" t="s">
        <v>169</v>
      </c>
      <c r="N17" s="73" t="s">
        <v>170</v>
      </c>
    </row>
    <row r="18" spans="2:14" ht="43.5">
      <c r="B18" s="76">
        <v>1</v>
      </c>
      <c r="C18" s="87" t="s">
        <v>171</v>
      </c>
      <c r="D18" s="78" t="s">
        <v>172</v>
      </c>
      <c r="E18" s="79"/>
      <c r="F18" s="80" t="s">
        <v>173</v>
      </c>
      <c r="G18" s="81"/>
      <c r="H18" s="82"/>
      <c r="I18" s="76">
        <v>1</v>
      </c>
      <c r="J18" s="87" t="s">
        <v>171</v>
      </c>
      <c r="K18" s="78" t="s">
        <v>172</v>
      </c>
      <c r="L18" s="79"/>
      <c r="M18" s="80" t="s">
        <v>173</v>
      </c>
      <c r="N18" s="81"/>
    </row>
    <row r="19" spans="2:14" ht="43.5">
      <c r="B19" s="76">
        <v>2</v>
      </c>
      <c r="C19" s="87" t="s">
        <v>174</v>
      </c>
      <c r="D19" s="78" t="s">
        <v>175</v>
      </c>
      <c r="E19" s="79"/>
      <c r="F19" s="80" t="s">
        <v>173</v>
      </c>
      <c r="G19" s="81"/>
      <c r="H19" s="82"/>
      <c r="I19" s="76">
        <v>2</v>
      </c>
      <c r="J19" s="87" t="s">
        <v>176</v>
      </c>
      <c r="K19" s="78" t="s">
        <v>175</v>
      </c>
      <c r="L19" s="79"/>
      <c r="M19" s="80" t="s">
        <v>173</v>
      </c>
      <c r="N19" s="81"/>
    </row>
    <row r="20" spans="2:14" ht="57.75">
      <c r="B20" s="76">
        <v>3</v>
      </c>
      <c r="C20" s="87" t="s">
        <v>177</v>
      </c>
      <c r="D20" s="78" t="s">
        <v>178</v>
      </c>
      <c r="E20" s="79"/>
      <c r="F20" s="80" t="s">
        <v>173</v>
      </c>
      <c r="G20" s="81"/>
      <c r="H20" s="82"/>
      <c r="I20" s="76">
        <v>3</v>
      </c>
      <c r="J20" s="87" t="s">
        <v>177</v>
      </c>
      <c r="K20" s="78" t="s">
        <v>179</v>
      </c>
      <c r="L20" s="79"/>
      <c r="M20" s="80" t="s">
        <v>173</v>
      </c>
      <c r="N20" s="81"/>
    </row>
    <row r="21" spans="2:14"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</row>
    <row r="22" spans="2:14">
      <c r="B22" s="206" t="s">
        <v>180</v>
      </c>
      <c r="C22" s="207"/>
      <c r="D22" s="207"/>
      <c r="E22" s="207"/>
      <c r="F22" s="207"/>
      <c r="G22" s="208"/>
      <c r="H22" s="12"/>
      <c r="I22" s="206" t="s">
        <v>181</v>
      </c>
      <c r="J22" s="207"/>
      <c r="K22" s="207"/>
      <c r="L22" s="207"/>
      <c r="M22" s="207"/>
      <c r="N22" s="208"/>
    </row>
    <row r="23" spans="2:14" ht="25.5" customHeight="1">
      <c r="B23" s="84" t="s">
        <v>158</v>
      </c>
      <c r="C23" s="209" t="s">
        <v>182</v>
      </c>
      <c r="D23" s="210"/>
      <c r="E23" s="211"/>
      <c r="F23" s="84" t="s">
        <v>160</v>
      </c>
      <c r="G23" s="62">
        <v>44909</v>
      </c>
      <c r="H23" s="12"/>
      <c r="I23" s="84" t="s">
        <v>158</v>
      </c>
      <c r="J23" s="209" t="s">
        <v>183</v>
      </c>
      <c r="K23" s="210"/>
      <c r="L23" s="211"/>
      <c r="M23" s="84" t="s">
        <v>160</v>
      </c>
      <c r="N23" s="62">
        <v>44909</v>
      </c>
    </row>
    <row r="24" spans="2:14">
      <c r="B24" s="212" t="s">
        <v>162</v>
      </c>
      <c r="C24" s="213"/>
      <c r="D24" s="214" t="s">
        <v>152</v>
      </c>
      <c r="E24" s="215"/>
      <c r="F24" s="215"/>
      <c r="G24" s="216"/>
      <c r="H24" s="12"/>
      <c r="I24" s="217" t="s">
        <v>162</v>
      </c>
      <c r="J24" s="218"/>
      <c r="K24" s="214" t="s">
        <v>152</v>
      </c>
      <c r="L24" s="215"/>
      <c r="M24" s="215"/>
      <c r="N24" s="216"/>
    </row>
    <row r="25" spans="2:14" ht="27.75" customHeight="1">
      <c r="B25" s="85" t="s">
        <v>163</v>
      </c>
      <c r="C25" s="219" t="s">
        <v>164</v>
      </c>
      <c r="D25" s="220"/>
      <c r="E25" s="220"/>
      <c r="F25" s="220"/>
      <c r="G25" s="221"/>
      <c r="H25" s="12"/>
      <c r="I25" s="86" t="s">
        <v>163</v>
      </c>
      <c r="J25" s="219" t="s">
        <v>164</v>
      </c>
      <c r="K25" s="220"/>
      <c r="L25" s="220"/>
      <c r="M25" s="220"/>
      <c r="N25" s="221"/>
    </row>
    <row r="26" spans="2:14" ht="36">
      <c r="B26" s="71" t="s">
        <v>165</v>
      </c>
      <c r="C26" s="72" t="s">
        <v>166</v>
      </c>
      <c r="D26" s="73" t="s">
        <v>167</v>
      </c>
      <c r="E26" s="74" t="s">
        <v>168</v>
      </c>
      <c r="F26" s="75" t="s">
        <v>169</v>
      </c>
      <c r="G26" s="73" t="s">
        <v>170</v>
      </c>
      <c r="I26" s="71" t="s">
        <v>165</v>
      </c>
      <c r="J26" s="72" t="s">
        <v>166</v>
      </c>
      <c r="K26" s="73" t="s">
        <v>167</v>
      </c>
      <c r="L26" s="74" t="s">
        <v>168</v>
      </c>
      <c r="M26" s="75" t="s">
        <v>169</v>
      </c>
      <c r="N26" s="73" t="s">
        <v>170</v>
      </c>
    </row>
    <row r="27" spans="2:14" ht="43.5">
      <c r="B27" s="76">
        <v>1</v>
      </c>
      <c r="C27" s="87" t="s">
        <v>171</v>
      </c>
      <c r="D27" s="78" t="s">
        <v>172</v>
      </c>
      <c r="E27" s="79"/>
      <c r="F27" s="80" t="s">
        <v>173</v>
      </c>
      <c r="G27" s="81"/>
      <c r="I27" s="76">
        <v>1</v>
      </c>
      <c r="J27" s="87" t="s">
        <v>171</v>
      </c>
      <c r="K27" s="78" t="s">
        <v>172</v>
      </c>
      <c r="L27" s="79"/>
      <c r="M27" s="80" t="s">
        <v>173</v>
      </c>
      <c r="N27" s="81"/>
    </row>
    <row r="28" spans="2:14" ht="57.75">
      <c r="B28" s="76">
        <v>2</v>
      </c>
      <c r="C28" s="87" t="s">
        <v>174</v>
      </c>
      <c r="D28" s="78" t="s">
        <v>175</v>
      </c>
      <c r="E28" s="79"/>
      <c r="F28" s="80" t="s">
        <v>173</v>
      </c>
      <c r="G28" s="81"/>
      <c r="I28" s="76">
        <v>2</v>
      </c>
      <c r="J28" s="87" t="s">
        <v>184</v>
      </c>
      <c r="K28" s="78" t="s">
        <v>175</v>
      </c>
      <c r="L28" s="79"/>
      <c r="M28" s="80" t="s">
        <v>173</v>
      </c>
      <c r="N28" s="81"/>
    </row>
    <row r="29" spans="2:14" ht="86.25">
      <c r="B29" s="76">
        <v>3</v>
      </c>
      <c r="C29" s="87" t="s">
        <v>177</v>
      </c>
      <c r="D29" s="78" t="s">
        <v>185</v>
      </c>
      <c r="E29" s="79"/>
      <c r="F29" s="80" t="s">
        <v>173</v>
      </c>
      <c r="G29" s="81"/>
      <c r="I29" s="76">
        <v>3</v>
      </c>
      <c r="J29" s="87" t="s">
        <v>177</v>
      </c>
      <c r="K29" s="78" t="s">
        <v>186</v>
      </c>
      <c r="L29" s="79"/>
      <c r="M29" s="80" t="s">
        <v>173</v>
      </c>
      <c r="N29" s="81"/>
    </row>
    <row r="30" spans="2:14" ht="57.75">
      <c r="B30" s="63">
        <v>4</v>
      </c>
      <c r="C30" s="88" t="s">
        <v>187</v>
      </c>
      <c r="D30" s="78" t="s">
        <v>188</v>
      </c>
      <c r="E30" s="79"/>
      <c r="F30" s="80" t="s">
        <v>173</v>
      </c>
      <c r="G30" s="81"/>
      <c r="I30" s="76">
        <v>4</v>
      </c>
      <c r="J30" s="88" t="s">
        <v>189</v>
      </c>
      <c r="K30" s="78" t="s">
        <v>190</v>
      </c>
      <c r="L30" s="79"/>
      <c r="M30" s="80" t="s">
        <v>173</v>
      </c>
      <c r="N30" s="81"/>
    </row>
    <row r="31" spans="2:14" ht="57.75">
      <c r="B31" s="63">
        <v>5</v>
      </c>
      <c r="C31" s="88" t="s">
        <v>191</v>
      </c>
      <c r="D31" s="78" t="s">
        <v>192</v>
      </c>
      <c r="E31" s="79"/>
      <c r="F31" s="80" t="s">
        <v>173</v>
      </c>
      <c r="G31" s="81"/>
      <c r="I31" s="76"/>
      <c r="J31" s="87"/>
      <c r="K31" s="78"/>
      <c r="L31" s="79"/>
      <c r="M31" s="80"/>
      <c r="N31" s="81"/>
    </row>
    <row r="32" spans="2:14" ht="72">
      <c r="B32" s="63">
        <v>6</v>
      </c>
      <c r="C32" s="88" t="s">
        <v>193</v>
      </c>
      <c r="D32" s="78" t="s">
        <v>194</v>
      </c>
      <c r="E32" s="79"/>
      <c r="F32" s="80" t="s">
        <v>173</v>
      </c>
      <c r="G32" s="81"/>
      <c r="I32" s="76"/>
      <c r="J32" s="87"/>
      <c r="K32" s="78"/>
      <c r="L32" s="79"/>
      <c r="M32" s="80"/>
      <c r="N32" s="81"/>
    </row>
    <row r="34" spans="2:14">
      <c r="B34" s="193" t="s">
        <v>195</v>
      </c>
      <c r="C34" s="194"/>
      <c r="D34" s="194"/>
      <c r="E34" s="194"/>
      <c r="F34" s="194"/>
      <c r="G34" s="195"/>
      <c r="I34" s="193" t="s">
        <v>196</v>
      </c>
      <c r="J34" s="194"/>
      <c r="K34" s="194"/>
      <c r="L34" s="194"/>
      <c r="M34" s="194"/>
      <c r="N34" s="195"/>
    </row>
    <row r="35" spans="2:14" ht="28.5" customHeight="1">
      <c r="B35" s="61" t="s">
        <v>158</v>
      </c>
      <c r="C35" s="196" t="s">
        <v>197</v>
      </c>
      <c r="D35" s="197"/>
      <c r="E35" s="198"/>
      <c r="F35" s="61" t="s">
        <v>160</v>
      </c>
      <c r="G35" s="62">
        <v>44909</v>
      </c>
      <c r="I35" s="61" t="s">
        <v>158</v>
      </c>
      <c r="J35" s="196" t="s">
        <v>198</v>
      </c>
      <c r="K35" s="197"/>
      <c r="L35" s="198"/>
      <c r="M35" s="61" t="s">
        <v>160</v>
      </c>
      <c r="N35" s="62">
        <v>44909</v>
      </c>
    </row>
    <row r="36" spans="2:14">
      <c r="B36" s="204" t="s">
        <v>162</v>
      </c>
      <c r="C36" s="205"/>
      <c r="D36" s="201" t="s">
        <v>152</v>
      </c>
      <c r="E36" s="202"/>
      <c r="F36" s="202"/>
      <c r="G36" s="203"/>
      <c r="I36" s="199" t="s">
        <v>162</v>
      </c>
      <c r="J36" s="200"/>
      <c r="K36" s="201" t="s">
        <v>152</v>
      </c>
      <c r="L36" s="202"/>
      <c r="M36" s="202"/>
      <c r="N36" s="203"/>
    </row>
    <row r="37" spans="2:14" ht="24.75" customHeight="1">
      <c r="B37" s="67" t="s">
        <v>163</v>
      </c>
      <c r="C37" s="190" t="s">
        <v>164</v>
      </c>
      <c r="D37" s="191"/>
      <c r="E37" s="191"/>
      <c r="F37" s="191"/>
      <c r="G37" s="192"/>
      <c r="I37" s="68" t="s">
        <v>163</v>
      </c>
      <c r="J37" s="190" t="s">
        <v>164</v>
      </c>
      <c r="K37" s="191"/>
      <c r="L37" s="191"/>
      <c r="M37" s="191"/>
      <c r="N37" s="192"/>
    </row>
    <row r="38" spans="2:14" ht="30" customHeight="1">
      <c r="B38" s="71" t="s">
        <v>165</v>
      </c>
      <c r="C38" s="72" t="s">
        <v>166</v>
      </c>
      <c r="D38" s="73" t="s">
        <v>167</v>
      </c>
      <c r="E38" s="74" t="s">
        <v>168</v>
      </c>
      <c r="F38" s="75" t="s">
        <v>169</v>
      </c>
      <c r="G38" s="73" t="s">
        <v>170</v>
      </c>
      <c r="I38" s="71" t="s">
        <v>165</v>
      </c>
      <c r="J38" s="72" t="s">
        <v>166</v>
      </c>
      <c r="K38" s="73" t="s">
        <v>167</v>
      </c>
      <c r="L38" s="74" t="s">
        <v>168</v>
      </c>
      <c r="M38" s="75" t="s">
        <v>169</v>
      </c>
      <c r="N38" s="73" t="s">
        <v>170</v>
      </c>
    </row>
    <row r="39" spans="2:14" ht="43.5">
      <c r="B39" s="76">
        <v>1</v>
      </c>
      <c r="C39" s="87" t="s">
        <v>199</v>
      </c>
      <c r="D39" s="78" t="s">
        <v>200</v>
      </c>
      <c r="E39" s="64"/>
      <c r="F39" s="80" t="s">
        <v>173</v>
      </c>
      <c r="G39" s="66"/>
      <c r="I39" s="76">
        <v>1</v>
      </c>
      <c r="J39" s="87" t="s">
        <v>171</v>
      </c>
      <c r="K39" s="78" t="s">
        <v>172</v>
      </c>
      <c r="L39" s="64"/>
      <c r="M39" s="80" t="s">
        <v>173</v>
      </c>
      <c r="N39" s="66"/>
    </row>
    <row r="40" spans="2:14" ht="57.75">
      <c r="B40" s="76">
        <v>2</v>
      </c>
      <c r="C40" s="87" t="s">
        <v>199</v>
      </c>
      <c r="D40" s="78" t="s">
        <v>201</v>
      </c>
      <c r="E40" s="64"/>
      <c r="F40" s="80" t="s">
        <v>173</v>
      </c>
      <c r="G40" s="66"/>
      <c r="I40" s="76">
        <v>2</v>
      </c>
      <c r="J40" s="87" t="s">
        <v>174</v>
      </c>
      <c r="K40" s="78" t="s">
        <v>175</v>
      </c>
      <c r="L40" s="64"/>
      <c r="M40" s="80" t="s">
        <v>173</v>
      </c>
      <c r="N40" s="66"/>
    </row>
    <row r="41" spans="2:14" ht="86.25">
      <c r="B41" s="76">
        <v>3</v>
      </c>
      <c r="C41" s="77"/>
      <c r="D41" s="78"/>
      <c r="E41" s="64"/>
      <c r="F41" s="65"/>
      <c r="G41" s="66"/>
      <c r="I41" s="76">
        <v>3</v>
      </c>
      <c r="J41" s="87" t="s">
        <v>177</v>
      </c>
      <c r="K41" s="78" t="s">
        <v>185</v>
      </c>
      <c r="L41" s="64"/>
      <c r="M41" s="80" t="s">
        <v>173</v>
      </c>
      <c r="N41" s="66"/>
    </row>
    <row r="42" spans="2:14" ht="28.5">
      <c r="B42" s="76">
        <v>4</v>
      </c>
      <c r="C42" s="83"/>
      <c r="D42" s="78"/>
      <c r="E42" s="64"/>
      <c r="F42" s="65"/>
      <c r="G42" s="66"/>
      <c r="I42" s="76">
        <v>4</v>
      </c>
      <c r="J42" s="88" t="s">
        <v>202</v>
      </c>
      <c r="K42" s="78" t="s">
        <v>203</v>
      </c>
      <c r="L42" s="64"/>
      <c r="M42" s="80" t="s">
        <v>173</v>
      </c>
      <c r="N42" s="66"/>
    </row>
  </sheetData>
  <mergeCells count="42">
    <mergeCell ref="D7:E7"/>
    <mergeCell ref="D5:H5"/>
    <mergeCell ref="K6:M6"/>
    <mergeCell ref="K7:M7"/>
    <mergeCell ref="J5:M5"/>
    <mergeCell ref="F7:G7"/>
    <mergeCell ref="J37:N37"/>
    <mergeCell ref="C25:G25"/>
    <mergeCell ref="B34:G34"/>
    <mergeCell ref="C35:E35"/>
    <mergeCell ref="B36:C36"/>
    <mergeCell ref="D36:G36"/>
    <mergeCell ref="C37:G37"/>
    <mergeCell ref="J25:N25"/>
    <mergeCell ref="I34:N34"/>
    <mergeCell ref="J35:L35"/>
    <mergeCell ref="I36:J36"/>
    <mergeCell ref="K36:N36"/>
    <mergeCell ref="B22:G22"/>
    <mergeCell ref="C23:E23"/>
    <mergeCell ref="B24:C24"/>
    <mergeCell ref="D24:G24"/>
    <mergeCell ref="I22:N22"/>
    <mergeCell ref="J23:L23"/>
    <mergeCell ref="I24:J24"/>
    <mergeCell ref="K24:N24"/>
    <mergeCell ref="J11:L11"/>
    <mergeCell ref="E8:G8"/>
    <mergeCell ref="K8:M8"/>
    <mergeCell ref="F6:G6"/>
    <mergeCell ref="C16:G16"/>
    <mergeCell ref="J16:N16"/>
    <mergeCell ref="I13:N13"/>
    <mergeCell ref="J14:L14"/>
    <mergeCell ref="I15:J15"/>
    <mergeCell ref="K15:N15"/>
    <mergeCell ref="B13:G13"/>
    <mergeCell ref="C14:E14"/>
    <mergeCell ref="B15:C15"/>
    <mergeCell ref="D15:G15"/>
    <mergeCell ref="D11:F11"/>
    <mergeCell ref="D6:E6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3C332DDCA7833489AA1BCCDEF7F4EE8" ma:contentTypeVersion="12" ma:contentTypeDescription="Crear nuevo documento." ma:contentTypeScope="" ma:versionID="fb74d380098c2c36108b2ec010a9fa29">
  <xsd:schema xmlns:xsd="http://www.w3.org/2001/XMLSchema" xmlns:xs="http://www.w3.org/2001/XMLSchema" xmlns:p="http://schemas.microsoft.com/office/2006/metadata/properties" xmlns:ns2="2cbe8d76-4b20-459f-9eef-890eaea21366" xmlns:ns3="596c5f9f-dc92-4284-89fb-efc107f504c7" targetNamespace="http://schemas.microsoft.com/office/2006/metadata/properties" ma:root="true" ma:fieldsID="5ba09d9f09d21095a773433bd023391f" ns2:_="" ns3:_="">
    <xsd:import namespace="2cbe8d76-4b20-459f-9eef-890eaea21366"/>
    <xsd:import namespace="596c5f9f-dc92-4284-89fb-efc107f504c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be8d76-4b20-459f-9eef-890eaea2136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6c5f9f-dc92-4284-89fb-efc107f504c7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58B09CD-0FA4-4B86-B69B-7BEC9CD0B4CA}"/>
</file>

<file path=customXml/itemProps2.xml><?xml version="1.0" encoding="utf-8"?>
<ds:datastoreItem xmlns:ds="http://schemas.openxmlformats.org/officeDocument/2006/customXml" ds:itemID="{E0E4FB8F-5912-43F5-9315-3473DCD055F6}"/>
</file>

<file path=customXml/itemProps3.xml><?xml version="1.0" encoding="utf-8"?>
<ds:datastoreItem xmlns:ds="http://schemas.openxmlformats.org/officeDocument/2006/customXml" ds:itemID="{D16DF53D-6F7F-4EF1-895D-860D2C62581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Luis Fernando Álvarez Barrios</dc:creator>
  <cp:keywords/>
  <dc:description/>
  <cp:lastModifiedBy/>
  <cp:revision/>
  <dcterms:created xsi:type="dcterms:W3CDTF">2017-05-03T22:48:54Z</dcterms:created>
  <dcterms:modified xsi:type="dcterms:W3CDTF">2022-12-15T20:52:33Z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0x010100B3C332DDCA7833489AA1BCCDEF7F4EE8</vt:lpwstr>
  </property>
</Properties>
</file>